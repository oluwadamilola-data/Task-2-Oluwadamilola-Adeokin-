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40" yWindow="15" windowWidth="16095" windowHeight="9660"/>
  </bookViews>
  <sheets>
    <sheet name="Sheet3" sheetId="3" r:id="rId1"/>
    <sheet name="Sheet1" sheetId="1" r:id="rId2"/>
    <sheet name="EDA Analysis" sheetId="2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D5" i="2" l="1"/>
  <c r="C5" i="2"/>
  <c r="B5" i="2"/>
  <c r="C4" i="2"/>
  <c r="D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<sst xmlns="http://schemas.openxmlformats.org/spreadsheetml/2006/main" count="10555" uniqueCount="4314">
  <si>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</si>
  <si>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</si>
  <si>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</si>
  <si>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</si>
  <si>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</si>
  <si>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</si>
  <si>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</si>
  <si>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</si>
  <si>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</si>
  <si>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</si>
  <si>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</si>
  <si>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</si>
  <si>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</si>
  <si>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</si>
  <si>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</si>
  <si>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</si>
  <si>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</si>
  <si>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</si>
  <si>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</si>
  <si>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</si>
  <si>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</si>
  <si>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</si>
  <si>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</si>
  <si>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</si>
  <si>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</si>
  <si>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</si>
  <si>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</si>
  <si>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</si>
  <si>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</si>
  <si>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</si>
  <si>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</si>
  <si>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</si>
  <si>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</si>
  <si>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</si>
  <si>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</si>
  <si>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</si>
  <si>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</si>
  <si>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</si>
  <si>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</si>
  <si>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</si>
  <si>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</si>
  <si>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</si>
  <si>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</si>
  <si>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</si>
  <si>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</si>
  <si>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</si>
  <si>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</si>
  <si>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</si>
  <si>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</si>
  <si>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</si>
  <si>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</si>
  <si>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</si>
  <si>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</si>
  <si>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</si>
  <si>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</si>
  <si>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</si>
  <si>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</si>
  <si>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</si>
  <si>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</si>
  <si>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</si>
  <si>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</si>
  <si>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</si>
  <si>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</si>
  <si>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</si>
  <si>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</si>
  <si>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</si>
  <si>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</si>
  <si>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</si>
  <si>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</si>
  <si>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</si>
  <si>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</si>
  <si>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</si>
  <si>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</si>
  <si>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</si>
  <si>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</si>
  <si>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</si>
  <si>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</si>
  <si>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</si>
  <si>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</si>
  <si>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</si>
  <si>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</si>
  <si>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</si>
  <si>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</si>
  <si>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</si>
  <si>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</si>
  <si>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</si>
  <si>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</si>
  <si>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</si>
  <si>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</si>
  <si>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</si>
  <si>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</si>
  <si>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</si>
  <si>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</si>
  <si>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</si>
  <si>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</si>
  <si>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</si>
  <si>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</si>
  <si>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</si>
  <si>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</si>
  <si>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</si>
  <si>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</si>
  <si>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</si>
  <si>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</si>
  <si>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</si>
  <si>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</si>
  <si>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</si>
  <si>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</si>
  <si>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</si>
  <si>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</si>
  <si>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</si>
  <si>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</si>
  <si>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</si>
  <si>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</si>
  <si>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</si>
  <si>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</si>
  <si>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</si>
  <si>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</si>
  <si>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</si>
  <si>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</si>
  <si>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</si>
  <si>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</si>
  <si>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</si>
  <si>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</si>
  <si>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</si>
  <si>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</si>
  <si>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</si>
  <si>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</si>
  <si>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</si>
  <si>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</si>
  <si>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</si>
  <si>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</si>
  <si>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</si>
  <si>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</si>
  <si>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</si>
  <si>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</si>
  <si>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</si>
  <si>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</si>
  <si>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</si>
  <si>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</si>
  <si>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</si>
  <si>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</si>
  <si>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</si>
  <si>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</si>
  <si>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</si>
  <si>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</si>
  <si>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</si>
  <si>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</si>
  <si>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</si>
  <si>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</si>
  <si>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</si>
  <si>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</si>
  <si>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</si>
  <si>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</si>
  <si>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</si>
  <si>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</si>
  <si>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</si>
  <si>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</si>
  <si>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</si>
  <si>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</si>
  <si>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</si>
  <si>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</si>
  <si>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</si>
  <si>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</si>
  <si>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</si>
  <si>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</si>
  <si>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</si>
  <si>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</si>
  <si>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</si>
  <si>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</si>
  <si>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</si>
  <si>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</si>
  <si>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</si>
  <si>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</si>
  <si>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</si>
  <si>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</si>
  <si>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</si>
  <si>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</si>
  <si>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</si>
  <si>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</si>
  <si>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</si>
  <si>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</si>
  <si>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</si>
  <si>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</si>
  <si>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</si>
  <si>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</si>
  <si>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</si>
  <si>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</si>
  <si>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</si>
  <si>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</si>
  <si>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</si>
  <si>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</si>
  <si>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</si>
  <si>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</si>
  <si>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</si>
  <si>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</si>
  <si>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</si>
  <si>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</si>
  <si>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</si>
  <si>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</si>
  <si>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</si>
  <si>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</si>
  <si>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</si>
  <si>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</si>
  <si>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</si>
  <si>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</si>
  <si>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</si>
  <si>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</si>
  <si>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</si>
  <si>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</si>
  <si>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</si>
  <si>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</si>
  <si>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</si>
  <si>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</si>
  <si>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</si>
  <si>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</si>
  <si>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</si>
  <si>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</si>
  <si>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</si>
  <si>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</si>
  <si>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</si>
  <si>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</si>
  <si>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</si>
  <si>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</si>
  <si>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</si>
  <si>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</si>
  <si>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</si>
  <si>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</si>
  <si>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</si>
  <si>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</si>
  <si>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</si>
  <si>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</si>
  <si>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</si>
  <si>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</si>
  <si>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</si>
  <si>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</si>
  <si>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</si>
  <si>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</si>
  <si>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</si>
  <si>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</si>
  <si>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</si>
  <si>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</si>
  <si>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</si>
  <si>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</si>
  <si>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</si>
  <si>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</si>
  <si>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</si>
  <si>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</si>
  <si>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</si>
  <si>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</si>
  <si>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</si>
  <si>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</si>
  <si>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</si>
  <si>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</si>
  <si>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</si>
  <si>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</si>
  <si>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</si>
  <si>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</si>
  <si>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</si>
  <si>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</si>
  <si>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</si>
  <si>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</si>
  <si>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</si>
  <si>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</si>
  <si>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</si>
  <si>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</si>
  <si>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</si>
  <si>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</si>
  <si>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</si>
  <si>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</si>
  <si>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</si>
  <si>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</si>
  <si>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</si>
  <si>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</si>
  <si>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</si>
  <si>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</si>
  <si>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</si>
  <si>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</si>
  <si>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</si>
  <si>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</si>
  <si>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</si>
  <si>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</si>
  <si>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</si>
  <si>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</si>
  <si>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</si>
  <si>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</si>
  <si>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</si>
  <si>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</si>
  <si>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</si>
  <si>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</si>
  <si>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</si>
  <si>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</si>
  <si>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</si>
  <si>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</si>
  <si>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</si>
  <si>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</si>
  <si>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</si>
  <si>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</si>
  <si>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</si>
  <si>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</si>
  <si>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</si>
  <si>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</si>
  <si>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</si>
  <si>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</si>
  <si>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</si>
  <si>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</si>
  <si>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</si>
  <si>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</si>
  <si>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</si>
  <si>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</si>
  <si>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</si>
  <si>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</si>
  <si>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</si>
  <si>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</si>
  <si>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</si>
  <si>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</si>
  <si>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</si>
  <si>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</si>
  <si>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</si>
  <si>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</si>
  <si>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</si>
  <si>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</si>
  <si>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</si>
  <si>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</si>
  <si>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</si>
  <si>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</si>
  <si>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</si>
  <si>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</si>
  <si>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</si>
  <si>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</si>
  <si>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</si>
  <si>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</si>
  <si>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</si>
  <si>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</si>
  <si>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</si>
  <si>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</si>
  <si>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</si>
  <si>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</si>
  <si>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</si>
  <si>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</si>
  <si>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</si>
  <si>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</si>
  <si>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</si>
  <si>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</si>
  <si>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</si>
  <si>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</si>
  <si>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</si>
  <si>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</si>
  <si>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</si>
  <si>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</si>
  <si>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</si>
  <si>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</si>
  <si>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</si>
  <si>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</si>
  <si>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</si>
  <si>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</si>
  <si>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</si>
  <si>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</si>
  <si>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</si>
  <si>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</si>
  <si>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</si>
  <si>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</si>
  <si>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</si>
  <si>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</si>
  <si>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</si>
  <si>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</si>
  <si>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</si>
  <si>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</si>
  <si>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</si>
  <si>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</si>
  <si>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</si>
  <si>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</si>
  <si>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</si>
  <si>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</si>
  <si>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</si>
  <si>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</si>
  <si>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</si>
  <si>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</si>
  <si>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</si>
  <si>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</si>
  <si>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</si>
  <si>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</si>
  <si>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</si>
  <si>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</si>
  <si>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</si>
  <si>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</si>
  <si>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</si>
  <si>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</si>
  <si>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</si>
  <si>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</si>
  <si>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</si>
  <si>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</si>
  <si>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</si>
  <si>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</si>
  <si>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</si>
  <si>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</si>
  <si>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</si>
  <si>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</si>
  <si>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</si>
  <si>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</si>
  <si>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</si>
  <si>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</si>
  <si>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</si>
  <si>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</si>
  <si>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</si>
  <si>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</si>
  <si>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</si>
  <si>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</si>
  <si>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</si>
  <si>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</si>
  <si>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</si>
  <si>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</si>
  <si>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</si>
  <si>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</si>
  <si>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</si>
  <si>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</si>
  <si>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</si>
  <si>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</si>
  <si>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</si>
  <si>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</si>
  <si>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</si>
  <si>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</si>
  <si>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</si>
  <si>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</si>
  <si>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</si>
  <si>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</si>
  <si>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</si>
  <si>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</si>
  <si>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</si>
  <si>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</si>
  <si>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</si>
  <si>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</si>
  <si>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</si>
  <si>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</si>
  <si>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</si>
  <si>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</si>
  <si>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</si>
  <si>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</si>
  <si>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</si>
  <si>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</si>
  <si>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</si>
  <si>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</si>
  <si>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</si>
  <si>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</si>
  <si>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</si>
  <si>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</si>
  <si>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</si>
  <si>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</si>
  <si>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</si>
  <si>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</si>
  <si>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</si>
  <si>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</si>
  <si>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</si>
  <si>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</si>
  <si>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</si>
  <si>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</si>
  <si>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</si>
  <si>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</si>
  <si>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</si>
  <si>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</si>
  <si>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</si>
  <si>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</si>
  <si>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</si>
  <si>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</si>
  <si>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</si>
  <si>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</si>
  <si>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</si>
  <si>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</si>
  <si>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</si>
  <si>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</si>
  <si>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</si>
  <si>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</si>
  <si>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</si>
  <si>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</si>
  <si>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</si>
  <si>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</si>
  <si>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</si>
  <si>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</si>
  <si>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</si>
  <si>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</si>
  <si>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</si>
  <si>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</si>
  <si>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</si>
  <si>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</si>
  <si>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</si>
  <si>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</si>
  <si>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</si>
  <si>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</si>
  <si>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</si>
  <si>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</si>
  <si>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</si>
  <si>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</si>
  <si>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</si>
  <si>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</si>
  <si>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</si>
  <si>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</si>
  <si>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</si>
  <si>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</si>
  <si>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</si>
  <si>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</si>
  <si>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</si>
  <si>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</si>
  <si>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</si>
  <si>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</si>
  <si>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</si>
  <si>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</si>
  <si>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</si>
  <si>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</si>
  <si>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</si>
  <si>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</si>
  <si>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</si>
  <si>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</si>
  <si>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</si>
  <si>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</si>
  <si>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</si>
  <si>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</si>
  <si>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</si>
  <si>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</si>
  <si>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</si>
  <si>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</si>
  <si>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</si>
  <si>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</si>
  <si>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</si>
  <si>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</si>
  <si>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</si>
  <si>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</si>
  <si>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</si>
  <si>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</si>
  <si>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</si>
  <si>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</si>
  <si>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</si>
  <si>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</si>
  <si>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</si>
  <si>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</si>
  <si>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</si>
  <si>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</si>
  <si>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</si>
  <si>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</si>
  <si>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</si>
  <si>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</si>
  <si>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</si>
  <si>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</si>
  <si>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</si>
  <si>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</si>
  <si>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</si>
  <si>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</si>
  <si>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</si>
  <si>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</si>
  <si>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</si>
  <si>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</si>
  <si>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</si>
  <si>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</si>
  <si>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</si>
  <si>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</si>
  <si>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</si>
  <si>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</si>
  <si>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</si>
  <si>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</si>
  <si>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</si>
  <si>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</si>
  <si>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</si>
  <si>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</si>
  <si>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</si>
  <si>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</si>
  <si>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</si>
  <si>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</si>
  <si>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</si>
  <si>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</si>
  <si>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</si>
  <si>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</si>
  <si>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</si>
  <si>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</si>
  <si>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</si>
  <si>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</si>
  <si>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</si>
  <si>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</si>
  <si>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</si>
  <si>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</si>
  <si>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</si>
  <si>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</si>
  <si>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</si>
  <si>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</si>
  <si>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</si>
  <si>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</si>
  <si>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</si>
  <si>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</si>
  <si>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</si>
  <si>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</si>
  <si>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</si>
  <si>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</si>
  <si>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</si>
  <si>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</si>
  <si>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</si>
  <si>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</si>
  <si>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</si>
  <si>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</si>
  <si>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</si>
  <si>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</si>
  <si>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</si>
  <si>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</si>
  <si>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</si>
  <si>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</si>
  <si>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</si>
  <si>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</si>
  <si>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</si>
  <si>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</si>
  <si>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</si>
  <si>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</si>
  <si>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</si>
  <si>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</si>
  <si>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</si>
  <si>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</si>
  <si>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</si>
  <si>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</si>
  <si>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</si>
  <si>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</si>
  <si>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</si>
  <si>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</si>
  <si>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</si>
  <si>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</si>
  <si>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</si>
  <si>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</si>
  <si>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</si>
  <si>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</si>
  <si>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</si>
  <si>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</si>
  <si>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</si>
  <si>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</si>
  <si>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</si>
  <si>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</si>
  <si>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</si>
  <si>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</si>
  <si>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</si>
  <si>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</si>
  <si>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</si>
  <si>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</si>
  <si>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</si>
  <si>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</si>
  <si>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</si>
  <si>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</si>
  <si>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</si>
  <si>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</si>
  <si>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</si>
  <si>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</si>
  <si>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</si>
  <si>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</si>
  <si>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</si>
  <si>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</si>
  <si>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</si>
  <si>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</si>
  <si>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</si>
  <si>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</si>
  <si>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</si>
  <si>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</si>
  <si>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</si>
  <si>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</si>
  <si>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</si>
  <si>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</si>
  <si>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</si>
  <si>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</si>
  <si>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</si>
  <si>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</si>
  <si>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</si>
  <si>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</si>
  <si>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</si>
  <si>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</si>
  <si>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</si>
  <si>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</si>
  <si>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</si>
  <si>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</si>
  <si>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</si>
  <si>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</si>
  <si>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</si>
  <si>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</si>
  <si>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</si>
  <si>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</si>
  <si>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</si>
  <si>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</si>
  <si>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</si>
  <si>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</si>
  <si>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</si>
  <si>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</si>
  <si>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</si>
  <si>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</si>
  <si>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</si>
  <si>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</si>
  <si>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</si>
  <si>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</si>
  <si>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</si>
  <si>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</si>
  <si>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</si>
  <si>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</si>
  <si>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</si>
  <si>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</si>
  <si>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</si>
  <si>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</si>
  <si>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</si>
  <si>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</si>
  <si>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</si>
  <si>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</si>
  <si>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</si>
  <si>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</si>
  <si>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</si>
  <si>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</si>
  <si>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</si>
  <si>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</si>
  <si>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</si>
  <si>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</si>
  <si>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</si>
  <si>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</si>
  <si>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</si>
  <si>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</si>
  <si>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</si>
  <si>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</si>
  <si>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</si>
  <si>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</si>
  <si>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</si>
  <si>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</si>
  <si>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</si>
  <si>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</si>
  <si>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</si>
  <si>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</si>
  <si>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</si>
  <si>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</si>
  <si>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</si>
  <si>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</si>
  <si>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</si>
  <si>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</si>
  <si>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</si>
  <si>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</si>
  <si>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</si>
  <si>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</si>
  <si>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</si>
  <si>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</si>
  <si>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</si>
  <si>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</si>
  <si>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</si>
  <si>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</si>
  <si>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</si>
  <si>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</si>
  <si>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</si>
  <si>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</si>
  <si>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</si>
  <si>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</si>
  <si>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</si>
  <si>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</si>
  <si>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</si>
  <si>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</si>
  <si>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</si>
  <si>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</si>
  <si>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</si>
  <si>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</si>
  <si>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</si>
  <si>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</si>
  <si>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</si>
  <si>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</si>
  <si>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</si>
  <si>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</si>
  <si>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</si>
  <si>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</si>
  <si>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</si>
  <si>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</si>
  <si>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</si>
  <si>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</si>
  <si>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</si>
  <si>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</si>
  <si>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</si>
  <si>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</si>
  <si>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</si>
  <si>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</si>
  <si>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</si>
  <si>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</si>
  <si>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</si>
  <si>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</si>
  <si>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</si>
  <si>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</si>
  <si>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</si>
  <si>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</si>
  <si>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</si>
  <si>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</si>
  <si>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</si>
  <si>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</si>
  <si>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</si>
  <si>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</si>
  <si>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</si>
  <si>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</si>
  <si>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</si>
  <si>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</si>
  <si>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</si>
  <si>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</si>
  <si>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</si>
  <si>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</si>
  <si>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</si>
  <si>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</si>
  <si>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</si>
  <si>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</si>
  <si>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</si>
  <si>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</si>
  <si>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</si>
  <si>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</si>
  <si>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</si>
  <si>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</si>
  <si>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</si>
  <si>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</si>
  <si>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</si>
  <si>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</si>
  <si>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</si>
  <si>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</si>
  <si>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</si>
  <si>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</si>
  <si>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</si>
  <si>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</si>
  <si>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</si>
  <si>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</si>
  <si>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</si>
  <si>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</si>
  <si>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</si>
  <si>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</si>
  <si>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</si>
  <si>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</si>
  <si>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</si>
  <si>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</si>
  <si>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</si>
  <si>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</si>
  <si>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</si>
  <si>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</si>
  <si>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</si>
  <si>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</si>
  <si>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</si>
  <si>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</si>
  <si>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</si>
  <si>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</si>
  <si>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</si>
  <si>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</si>
  <si>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</si>
  <si>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</si>
  <si>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</si>
  <si>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</si>
  <si>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</si>
  <si>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</si>
  <si>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</si>
  <si>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</si>
  <si>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</si>
  <si>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</si>
  <si>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</si>
  <si>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</si>
  <si>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</si>
  <si>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</si>
  <si>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</si>
  <si>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</si>
  <si>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</si>
  <si>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</si>
  <si>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</si>
  <si>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</si>
  <si>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</si>
  <si>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</si>
  <si>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</si>
  <si>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</si>
  <si>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</si>
  <si>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</si>
  <si>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</si>
  <si>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</si>
  <si>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</si>
  <si>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</si>
  <si>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</si>
  <si>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</si>
  <si>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</si>
  <si>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</si>
  <si>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</si>
  <si>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</si>
  <si>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</si>
  <si>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</si>
  <si>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</si>
  <si>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</si>
  <si>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</si>
  <si>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</si>
  <si>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</si>
  <si>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</si>
  <si>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</si>
  <si>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</si>
  <si>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</si>
  <si>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</si>
  <si>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</si>
  <si>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</si>
  <si>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</si>
  <si>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</si>
  <si>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</si>
  <si>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</si>
  <si>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</si>
  <si>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</si>
  <si>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</si>
  <si>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</si>
  <si>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</si>
  <si>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</si>
  <si>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</si>
  <si>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</si>
  <si>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</si>
  <si>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</si>
  <si>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</si>
  <si>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</si>
  <si>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</si>
  <si>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</si>
  <si>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</si>
  <si>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</si>
  <si>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</si>
  <si>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</si>
  <si>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</si>
  <si>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</si>
  <si>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</si>
  <si>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</si>
  <si>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</si>
  <si>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</si>
  <si>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</si>
  <si>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</si>
  <si>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</si>
  <si>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</si>
  <si>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</si>
  <si>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</si>
  <si>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</si>
  <si>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</si>
  <si>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</si>
  <si>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</si>
  <si>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</si>
  <si>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</si>
  <si>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</si>
  <si>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</si>
  <si>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</si>
  <si>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</si>
  <si>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</si>
  <si>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</si>
  <si>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</si>
  <si>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</si>
  <si>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</si>
  <si>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</si>
  <si>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</si>
  <si>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</si>
  <si>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</si>
  <si>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</si>
  <si>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</si>
  <si>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</si>
  <si>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</si>
  <si>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</si>
  <si>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</si>
  <si>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</si>
  <si>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</si>
  <si>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</si>
  <si>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</si>
  <si>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</si>
  <si>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</si>
  <si>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</si>
  <si>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</si>
  <si>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</si>
  <si>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</si>
  <si>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</si>
  <si>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</si>
  <si>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</si>
  <si>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</si>
  <si>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</si>
  <si>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</si>
  <si>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</si>
  <si>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</si>
  <si>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</si>
  <si>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</si>
  <si>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</si>
  <si>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</si>
  <si>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</si>
  <si>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</si>
  <si>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</si>
  <si>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</si>
  <si>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</si>
  <si>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</si>
  <si>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</si>
  <si>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</si>
  <si>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</si>
  <si>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</si>
  <si>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</si>
  <si>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</si>
  <si>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</si>
  <si>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</si>
  <si>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</si>
  <si>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</si>
  <si>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</si>
  <si>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</si>
  <si>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</si>
  <si>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</si>
  <si>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</si>
  <si>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</si>
  <si>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</si>
  <si>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</si>
  <si>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</si>
  <si>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</si>
  <si>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</si>
  <si>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</si>
  <si>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</si>
  <si>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</si>
  <si>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</si>
  <si>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</si>
  <si>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</si>
  <si>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</si>
  <si>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</si>
  <si>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</si>
  <si>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</si>
  <si>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</si>
  <si>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</si>
  <si>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</si>
  <si>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</si>
  <si>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</si>
  <si>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</si>
  <si>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</si>
  <si>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</si>
  <si>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</si>
  <si>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</si>
  <si>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</si>
  <si>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</si>
  <si>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</si>
  <si>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</si>
  <si>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</si>
  <si>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</si>
  <si>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</si>
  <si>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</si>
  <si>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</si>
  <si>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</si>
  <si>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</si>
  <si>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</si>
  <si>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</si>
  <si>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</si>
  <si>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</si>
  <si>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</si>
  <si>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</si>
  <si>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</si>
  <si>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</si>
  <si>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</si>
  <si>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</si>
  <si>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</si>
  <si>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</si>
  <si>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</si>
  <si>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</si>
  <si>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</si>
  <si>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</si>
  <si>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</si>
  <si>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</si>
  <si>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</si>
  <si>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</si>
  <si>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</si>
  <si>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</si>
  <si>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</si>
  <si>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</si>
  <si>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</si>
  <si>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</si>
  <si>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</si>
  <si>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</si>
  <si>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</si>
  <si>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</si>
  <si>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</si>
  <si>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</si>
  <si>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</si>
  <si>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</si>
  <si>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</si>
  <si>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</si>
  <si>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</si>
  <si>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</si>
  <si>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</si>
  <si>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</si>
  <si>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</si>
  <si>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</si>
  <si>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</si>
  <si>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</si>
  <si>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</si>
  <si>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</si>
  <si>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</si>
  <si>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</si>
  <si>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</si>
  <si>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</si>
  <si>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</si>
  <si>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</si>
  <si>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</si>
  <si>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</si>
  <si>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</si>
  <si>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</si>
  <si>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</si>
  <si>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</si>
  <si>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</si>
  <si>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</si>
  <si>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</si>
  <si>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</si>
  <si>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</si>
  <si>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</si>
  <si>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</si>
  <si>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</si>
  <si>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</si>
  <si>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</si>
  <si>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</si>
  <si>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</si>
  <si>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</si>
  <si>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</si>
  <si>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</si>
  <si>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</si>
  <si>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</si>
  <si>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</si>
  <si>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</si>
  <si>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</si>
  <si>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</si>
  <si>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</si>
  <si>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</si>
  <si>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</si>
  <si>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</si>
  <si>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</si>
  <si>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</si>
  <si>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</si>
  <si>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</si>
  <si>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</si>
  <si>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</si>
  <si>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</si>
  <si>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</si>
  <si>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</si>
  <si>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</si>
  <si>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</si>
  <si>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</si>
  <si>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</si>
  <si>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</si>
  <si>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</si>
  <si>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</si>
  <si>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</si>
  <si>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</si>
  <si>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</si>
  <si>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</si>
  <si>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</si>
  <si>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</si>
  <si>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</si>
  <si>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</si>
  <si>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</si>
  <si>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</si>
  <si>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</si>
  <si>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</si>
  <si>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</si>
  <si>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</si>
  <si>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</si>
  <si>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</si>
  <si>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</si>
  <si>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</si>
  <si>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</si>
  <si>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</si>
  <si>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</si>
  <si>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</si>
  <si>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</si>
  <si>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</si>
  <si>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</si>
  <si>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</si>
  <si>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</si>
  <si>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</si>
  <si>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</si>
  <si>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</si>
  <si>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</si>
  <si>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</si>
  <si>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</si>
  <si>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</si>
  <si>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</si>
  <si>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</si>
  <si>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</si>
  <si>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</si>
  <si>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</si>
  <si>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</si>
  <si>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</si>
  <si>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</si>
  <si>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</si>
  <si>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</si>
  <si>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</si>
  <si>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</si>
  <si>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</si>
  <si>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</si>
  <si>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</si>
  <si>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</si>
  <si>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</si>
  <si>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</si>
  <si>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</si>
  <si>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</si>
  <si>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</si>
  <si>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</si>
  <si>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</si>
  <si>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</si>
  <si>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</si>
  <si>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</si>
  <si>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</si>
  <si>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</si>
  <si>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</si>
  <si>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</si>
  <si>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</si>
  <si>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</si>
  <si>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</si>
  <si>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</si>
  <si>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</si>
  <si>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</si>
  <si>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</si>
  <si>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</si>
  <si>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</si>
  <si>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</si>
  <si>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</si>
  <si>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</si>
  <si>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</si>
  <si>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</si>
  <si>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</si>
  <si>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</si>
  <si>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</si>
  <si>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</si>
  <si>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</si>
  <si>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</si>
  <si>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</si>
  <si>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</si>
  <si>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</si>
  <si>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</si>
  <si>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</si>
  <si>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</si>
  <si>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</si>
  <si>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</si>
  <si>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</si>
  <si>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</si>
  <si>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</si>
  <si>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</si>
  <si>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</si>
  <si>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</si>
  <si>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</si>
  <si>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</si>
  <si>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</si>
  <si>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</si>
  <si>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</si>
  <si>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</si>
  <si>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</si>
  <si>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</si>
  <si>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</si>
  <si>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</si>
  <si>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</si>
  <si>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</si>
  <si>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</si>
  <si>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</si>
  <si>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</si>
  <si>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</si>
  <si>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</si>
  <si>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</si>
  <si>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</si>
  <si>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</si>
  <si>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</si>
  <si>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</si>
  <si>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</si>
  <si>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</si>
  <si>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</si>
  <si>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</si>
  <si>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</si>
  <si>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</si>
  <si>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</si>
  <si>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</si>
  <si>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</si>
  <si>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</si>
  <si>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</si>
  <si>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</si>
  <si>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</si>
  <si>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</si>
  <si>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</si>
  <si>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</si>
  <si>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</si>
  <si>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</si>
  <si>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</si>
  <si>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</si>
  <si>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</si>
  <si>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</si>
  <si>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</si>
  <si>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</si>
  <si>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</si>
  <si>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</si>
  <si>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</si>
  <si>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</si>
  <si>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</si>
  <si>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</si>
  <si>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</si>
  <si>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</si>
  <si>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</si>
  <si>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</si>
  <si>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</si>
  <si>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</si>
  <si>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</si>
  <si>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</si>
  <si>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</si>
  <si>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</si>
  <si>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</si>
  <si>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</si>
  <si>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</si>
  <si>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</si>
  <si>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</si>
  <si>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</si>
  <si>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</si>
  <si>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</si>
  <si>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</si>
  <si>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</si>
  <si>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</si>
  <si>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</si>
  <si>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</si>
  <si>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</si>
  <si>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</si>
  <si>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</si>
  <si>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</si>
  <si>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</si>
  <si>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</si>
  <si>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</si>
  <si>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</si>
  <si>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</si>
  <si>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</si>
  <si>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</si>
  <si>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</si>
  <si>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</si>
  <si>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</si>
  <si>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</si>
  <si>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</si>
  <si>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</si>
  <si>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</si>
  <si>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</si>
  <si>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</si>
  <si>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</si>
  <si>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</si>
  <si>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</si>
  <si>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</si>
  <si>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</si>
  <si>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</si>
  <si>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</si>
  <si>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</si>
  <si>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</si>
  <si>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</si>
  <si>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</si>
  <si>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</si>
  <si>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</si>
  <si>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</si>
  <si>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</si>
  <si>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</si>
  <si>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</si>
  <si>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</si>
  <si>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</si>
  <si>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</si>
  <si>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</si>
  <si>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</si>
  <si>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</si>
  <si>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</si>
  <si>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</si>
  <si>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</si>
  <si>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</si>
  <si>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</si>
  <si>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</si>
  <si>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</si>
  <si>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</si>
  <si>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</si>
  <si>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</si>
  <si>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</si>
  <si>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</si>
  <si>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</si>
  <si>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</si>
  <si>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</si>
  <si>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</si>
  <si>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</si>
  <si>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</si>
  <si>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</si>
  <si>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</si>
  <si>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</si>
  <si>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</si>
  <si>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</si>
  <si>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</si>
  <si>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</si>
  <si>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</si>
  <si>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</si>
  <si>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</si>
  <si>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</si>
  <si>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</si>
  <si>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</si>
  <si>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</si>
  <si>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</si>
  <si>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</si>
  <si>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</si>
  <si>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</si>
  <si>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</si>
  <si>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</si>
  <si>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</si>
  <si>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</si>
  <si>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</si>
  <si>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</si>
  <si>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</si>
  <si>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</si>
  <si>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</si>
  <si>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</si>
  <si>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</si>
  <si>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</si>
  <si>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</si>
  <si>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</si>
  <si>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</si>
  <si>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</si>
  <si>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</si>
  <si>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</si>
  <si>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</si>
  <si>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</si>
  <si>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</si>
  <si>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</si>
  <si>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</si>
  <si>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</si>
  <si>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</si>
  <si>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</si>
  <si>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</si>
  <si>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</si>
  <si>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</si>
  <si>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</si>
  <si>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</si>
  <si>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</si>
  <si>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</si>
  <si>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</si>
  <si>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</si>
  <si>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</si>
  <si>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</si>
  <si>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</si>
  <si>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</si>
  <si>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</si>
  <si>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</si>
  <si>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</si>
  <si>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</si>
  <si>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</si>
  <si>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</si>
  <si>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</si>
  <si>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</si>
  <si>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</si>
  <si>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</si>
  <si>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</si>
  <si>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</si>
  <si>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</si>
  <si>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</si>
  <si>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</si>
  <si>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</si>
  <si>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</si>
  <si>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</si>
  <si>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</si>
  <si>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</si>
  <si>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</si>
  <si>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</si>
  <si>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</si>
  <si>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</si>
  <si>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</si>
  <si>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</si>
  <si>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</si>
  <si>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</si>
  <si>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</si>
  <si>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</si>
  <si>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</si>
  <si>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</si>
  <si>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</si>
  <si>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</si>
  <si>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</si>
  <si>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</si>
  <si>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</si>
  <si>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</si>
  <si>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</si>
  <si>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</si>
  <si>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</si>
  <si>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</si>
  <si>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</si>
  <si>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</si>
  <si>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</si>
  <si>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</si>
  <si>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</si>
  <si>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</si>
  <si>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</si>
  <si>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</si>
  <si>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</si>
  <si>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</si>
  <si>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</si>
  <si>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</si>
  <si>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</si>
  <si>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</si>
  <si>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</si>
  <si>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</si>
  <si>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</si>
  <si>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</si>
  <si>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</si>
  <si>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</si>
  <si>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</si>
  <si>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</si>
  <si>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</si>
  <si>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</si>
  <si>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</si>
  <si>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</si>
  <si>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</si>
  <si>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</si>
  <si>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</si>
  <si>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</si>
  <si>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</si>
  <si>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</si>
  <si>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</si>
  <si>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</si>
  <si>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</si>
  <si>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</si>
  <si>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</si>
  <si>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</si>
  <si>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</si>
  <si>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</si>
  <si>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</si>
  <si>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</si>
  <si>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</si>
  <si>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</si>
  <si>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</si>
  <si>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</si>
  <si>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</si>
  <si>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</si>
  <si>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</si>
  <si>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</si>
  <si>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</si>
  <si>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</si>
  <si>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</si>
  <si>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</si>
  <si>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</si>
  <si>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</si>
  <si>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</si>
  <si>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</si>
  <si>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</si>
  <si>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</si>
  <si>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</si>
  <si>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</si>
  <si>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</si>
  <si>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</si>
  <si>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</si>
  <si>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</si>
  <si>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</si>
  <si>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</si>
  <si>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</si>
  <si>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</si>
  <si>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</si>
  <si>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</si>
  <si>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</si>
  <si>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</si>
  <si>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</si>
  <si>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</si>
  <si>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</si>
  <si>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</si>
  <si>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</si>
  <si>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</si>
  <si>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</si>
  <si>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</si>
  <si>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</si>
  <si>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</si>
  <si>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</si>
  <si>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</si>
  <si>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</si>
  <si>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</si>
  <si>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</si>
  <si>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</si>
  <si>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</si>
  <si>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</si>
  <si>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</si>
  <si>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</si>
  <si>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</si>
  <si>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</si>
  <si>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</si>
  <si>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</si>
  <si>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</si>
  <si>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</si>
  <si>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</si>
  <si>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</si>
  <si>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</si>
  <si>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</si>
  <si>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</si>
  <si>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</si>
  <si>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</si>
  <si>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</si>
  <si>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</si>
  <si>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</si>
  <si>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</si>
  <si>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</si>
  <si>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</si>
  <si>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</si>
  <si>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</si>
  <si>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</si>
  <si>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</si>
  <si>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</si>
  <si>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</si>
  <si>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</si>
  <si>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</si>
  <si>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</si>
  <si>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</si>
  <si>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</si>
  <si>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</si>
  <si>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</si>
  <si>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</si>
  <si>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</si>
  <si>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</si>
  <si>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</si>
  <si>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</si>
  <si>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</si>
  <si>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</si>
  <si>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</si>
  <si>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</si>
  <si>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</si>
  <si>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</si>
  <si>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</si>
  <si>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</si>
  <si>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</si>
  <si>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</si>
  <si>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</si>
  <si>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</si>
  <si>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</si>
  <si>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</si>
  <si>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</si>
  <si>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</si>
  <si>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</si>
  <si>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</si>
  <si>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</si>
  <si>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</si>
  <si>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</si>
  <si>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</si>
  <si>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</si>
  <si>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</si>
  <si>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</si>
  <si>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</si>
  <si>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</si>
  <si>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</si>
  <si>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</si>
  <si>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</si>
  <si>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</si>
  <si>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</si>
  <si>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</si>
  <si>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</si>
  <si>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</si>
  <si>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</si>
  <si>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</si>
  <si>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</si>
  <si>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</si>
  <si>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</si>
  <si>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</si>
  <si>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</si>
  <si>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</si>
  <si>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</si>
  <si>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</si>
  <si>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</si>
  <si>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</si>
  <si>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</si>
  <si>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</si>
  <si>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</si>
  <si>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</si>
  <si>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</si>
  <si>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</si>
  <si>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</si>
  <si>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</si>
  <si>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</si>
  <si>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</si>
  <si>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</si>
  <si>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</si>
  <si>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</si>
  <si>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</si>
  <si>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</si>
  <si>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</si>
  <si>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</si>
  <si>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</si>
  <si>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</si>
  <si>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</si>
  <si>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</si>
  <si>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</si>
  <si>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</si>
  <si>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</si>
  <si>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</si>
  <si>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</si>
  <si>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</si>
  <si>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</si>
  <si>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</si>
  <si>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</si>
  <si>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</si>
  <si>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</si>
  <si>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</si>
  <si>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</si>
  <si>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</si>
  <si>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</si>
  <si>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</si>
  <si>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</si>
  <si>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</si>
  <si>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</si>
  <si>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</si>
  <si>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</si>
  <si>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</si>
  <si>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</si>
  <si>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</si>
  <si>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</si>
  <si>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</si>
  <si>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</si>
  <si>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</si>
  <si>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</si>
  <si>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</si>
  <si>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</si>
  <si>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</si>
  <si>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</si>
  <si>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</si>
  <si>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</si>
  <si>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</si>
  <si>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</si>
  <si>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</si>
  <si>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</si>
  <si>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</si>
  <si>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</si>
  <si>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</si>
  <si>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</si>
  <si>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</si>
  <si>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</si>
  <si>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</si>
  <si>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</si>
  <si>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</si>
  <si>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</si>
  <si>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</si>
  <si>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</si>
  <si>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</si>
  <si>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</si>
  <si>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</si>
  <si>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</si>
  <si>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</si>
  <si>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</si>
  <si>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</si>
  <si>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</si>
  <si>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</si>
  <si>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</si>
  <si>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</si>
  <si>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</si>
  <si>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</si>
  <si>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</si>
  <si>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</si>
  <si>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</si>
  <si>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</si>
  <si>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</si>
  <si>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</si>
  <si>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</si>
  <si>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</si>
  <si>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</si>
  <si>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</si>
  <si>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</si>
  <si>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</si>
  <si>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</si>
  <si>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</si>
  <si>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</si>
  <si>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</si>
  <si>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</si>
  <si>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</si>
  <si>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</si>
  <si>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</si>
  <si>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</si>
  <si>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</si>
  <si>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</si>
  <si>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</si>
  <si>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</si>
  <si>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</si>
  <si>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</si>
  <si>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</si>
  <si>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</si>
  <si>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</si>
  <si>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</si>
  <si>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</si>
  <si>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</si>
  <si>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</si>
  <si>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</si>
  <si>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</si>
  <si>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</si>
  <si>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</si>
  <si>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</si>
  <si>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</si>
  <si>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</si>
  <si>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</si>
  <si>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</si>
  <si>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</si>
  <si>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</si>
  <si>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</si>
  <si>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</si>
  <si>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</si>
  <si>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</si>
  <si>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</si>
  <si>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</si>
  <si>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</si>
  <si>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</si>
  <si>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</si>
  <si>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</si>
  <si>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</si>
  <si>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</si>
  <si>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</si>
  <si>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</si>
  <si>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</si>
  <si>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</si>
  <si>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</si>
  <si>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</si>
  <si>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</si>
  <si>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</si>
  <si>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</si>
  <si>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</si>
  <si>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</si>
  <si>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</si>
  <si>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</si>
  <si>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</si>
  <si>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</si>
  <si>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</si>
  <si>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</si>
  <si>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</si>
  <si>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</si>
  <si>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</si>
  <si>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</si>
  <si>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</si>
  <si>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</si>
  <si>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</si>
  <si>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</si>
  <si>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</si>
  <si>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</si>
  <si>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</si>
  <si>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</si>
  <si>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</si>
  <si>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</si>
  <si>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</si>
  <si>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</si>
  <si>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</si>
  <si>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</si>
  <si>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</si>
  <si>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</si>
  <si>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</si>
  <si>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</si>
  <si>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</si>
  <si>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</si>
  <si>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</si>
  <si>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</si>
  <si>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</si>
  <si>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</si>
  <si>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</si>
  <si>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</si>
  <si>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</si>
  <si>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</si>
  <si>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</si>
  <si>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</si>
  <si>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</si>
  <si>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</si>
  <si>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</si>
  <si>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</si>
  <si>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</si>
  <si>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</si>
  <si>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</si>
  <si>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</si>
  <si>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</si>
  <si>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</si>
  <si>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</si>
  <si>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</si>
  <si>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</si>
  <si>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</si>
  <si>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</si>
  <si>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</si>
  <si>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</si>
  <si>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</si>
  <si>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</si>
  <si>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</si>
  <si>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</si>
  <si>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</si>
  <si>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</si>
  <si>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</si>
  <si>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</si>
  <si>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</si>
  <si>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</si>
  <si>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</si>
  <si>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</si>
  <si>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</si>
  <si>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</si>
  <si>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</si>
  <si>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</si>
  <si>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</si>
  <si>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</si>
  <si>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</si>
  <si>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</si>
  <si>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</si>
  <si>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</si>
  <si>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</si>
  <si>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</si>
  <si>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</si>
  <si>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</si>
  <si>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</si>
  <si>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</si>
  <si>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</si>
  <si>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</si>
  <si>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</si>
  <si>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</si>
  <si>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</si>
  <si>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</si>
  <si>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</si>
  <si>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</si>
  <si>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</si>
  <si>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</si>
  <si>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</si>
  <si>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</si>
  <si>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</si>
  <si>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</si>
  <si>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</si>
  <si>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</si>
  <si>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</si>
  <si>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</si>
  <si>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</si>
  <si>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</si>
  <si>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</si>
  <si>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</si>
  <si>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</si>
  <si>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</si>
  <si>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</si>
  <si>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</si>
  <si>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</si>
  <si>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</si>
  <si>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</si>
  <si>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</si>
  <si>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</si>
  <si>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</si>
  <si>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</si>
  <si>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</si>
  <si>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</si>
  <si>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</si>
  <si>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</si>
  <si>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</si>
  <si>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</si>
  <si>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</si>
  <si>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</si>
  <si>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</si>
  <si>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</si>
  <si>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</si>
  <si>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</si>
  <si>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</si>
  <si>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</si>
  <si>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</si>
  <si>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</si>
  <si>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</si>
  <si>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</si>
  <si>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</si>
  <si>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</si>
  <si>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</si>
  <si>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</si>
  <si>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</si>
  <si>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</si>
  <si>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</si>
  <si>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</si>
  <si>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</si>
  <si>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</si>
  <si>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</si>
  <si>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</si>
  <si>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</si>
  <si>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</si>
  <si>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</si>
  <si>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</si>
  <si>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</si>
  <si>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</si>
  <si>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</si>
  <si>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</si>
  <si>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</si>
  <si>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</si>
  <si>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</si>
  <si>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</si>
  <si>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</si>
  <si>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</si>
  <si>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</si>
  <si>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</si>
  <si>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</si>
  <si>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</si>
  <si>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</si>
  <si>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</si>
  <si>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</si>
  <si>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</si>
  <si>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</si>
  <si>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</si>
  <si>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</si>
  <si>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</si>
  <si>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</si>
  <si>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</si>
  <si>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</si>
  <si>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</si>
  <si>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</si>
  <si>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</si>
  <si>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</si>
  <si>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</si>
  <si>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</si>
  <si>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</si>
  <si>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</si>
  <si>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</si>
  <si>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</si>
  <si>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</si>
  <si>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</si>
  <si>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</si>
  <si>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</si>
  <si>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</si>
  <si>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</si>
  <si>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</si>
  <si>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</si>
  <si>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</si>
  <si>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</si>
  <si>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</si>
  <si>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</si>
  <si>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</si>
  <si>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</si>
  <si>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</si>
  <si>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</si>
  <si>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</si>
  <si>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</si>
  <si>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</si>
  <si>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</si>
  <si>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</si>
  <si>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</si>
  <si>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</si>
  <si>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</si>
  <si>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</si>
  <si>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</si>
  <si>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</si>
  <si>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</si>
  <si>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</si>
  <si>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</si>
  <si>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</si>
  <si>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</si>
  <si>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</si>
  <si>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</si>
  <si>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</si>
  <si>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</si>
  <si>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</si>
  <si>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</si>
  <si>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</si>
  <si>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</si>
  <si>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</si>
  <si>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</si>
  <si>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</si>
  <si>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</si>
  <si>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</si>
  <si>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</si>
  <si>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</si>
  <si>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</si>
  <si>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</si>
  <si>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</si>
  <si>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</si>
  <si>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</si>
  <si>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</si>
  <si>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</si>
  <si>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</si>
  <si>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</si>
  <si>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</si>
  <si>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</si>
  <si>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</si>
  <si>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</si>
  <si>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</si>
  <si>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</si>
  <si>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</si>
  <si>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</si>
  <si>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</si>
  <si>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</si>
  <si>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</si>
  <si>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</si>
  <si>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</si>
  <si>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</si>
  <si>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</si>
  <si>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</si>
  <si>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</si>
  <si>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</si>
  <si>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</si>
  <si>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</si>
  <si>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</si>
  <si>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</si>
  <si>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</si>
  <si>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</si>
  <si>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</si>
  <si>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</si>
  <si>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</si>
  <si>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</si>
  <si>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</si>
  <si>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</si>
  <si>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</si>
  <si>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</si>
  <si>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</si>
  <si>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</si>
  <si>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</si>
  <si>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</si>
  <si>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</si>
  <si>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</si>
  <si>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</si>
  <si>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</si>
  <si>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</si>
  <si>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</si>
  <si>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</si>
  <si>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</si>
  <si>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</si>
  <si>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</si>
  <si>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</si>
  <si>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</si>
  <si>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</si>
  <si>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</si>
  <si>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</si>
  <si>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</si>
  <si>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</si>
  <si>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</si>
  <si>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</si>
  <si>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</si>
  <si>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</si>
  <si>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</si>
  <si>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</si>
  <si>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</si>
  <si>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</si>
  <si>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</si>
  <si>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</si>
  <si>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</si>
  <si>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</si>
  <si>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</si>
  <si>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</si>
  <si>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</si>
  <si>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</si>
  <si>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</si>
  <si>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</si>
  <si>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</si>
  <si>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</si>
  <si>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</si>
  <si>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</si>
  <si>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</si>
  <si>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</si>
  <si>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</si>
  <si>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</si>
  <si>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</si>
  <si>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</si>
  <si>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</si>
  <si>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</si>
  <si>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</si>
  <si>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</si>
  <si>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</si>
  <si>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</si>
  <si>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</si>
  <si>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</si>
  <si>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</si>
  <si>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</si>
  <si>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</si>
  <si>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</si>
  <si>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</si>
  <si>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</si>
  <si>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</si>
  <si>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</si>
  <si>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</si>
  <si>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</si>
  <si>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</si>
  <si>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</si>
  <si>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</si>
  <si>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</si>
  <si>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</si>
  <si>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</si>
  <si>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</si>
  <si>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</si>
  <si>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</si>
  <si>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</si>
  <si>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</si>
  <si>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</si>
  <si>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</si>
  <si>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</si>
  <si>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</si>
  <si>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</si>
  <si>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</si>
  <si>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</si>
  <si>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</si>
  <si>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</si>
  <si>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</si>
  <si>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</si>
  <si>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</si>
  <si>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</si>
  <si>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</si>
  <si>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</si>
  <si>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</si>
  <si>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</si>
  <si>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</si>
  <si>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</si>
  <si>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</si>
  <si>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</si>
  <si>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</si>
  <si>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</si>
  <si>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</si>
  <si>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</si>
  <si>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</si>
  <si>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</si>
  <si>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</si>
  <si>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</si>
  <si>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</si>
  <si>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</si>
  <si>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</si>
  <si>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</si>
  <si>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</si>
  <si>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</si>
  <si>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</si>
  <si>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</si>
  <si>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</si>
  <si>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</si>
  <si>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</si>
  <si>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</si>
  <si>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</si>
  <si>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</si>
  <si>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</si>
  <si>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</si>
  <si>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</si>
  <si>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</si>
  <si>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</si>
  <si>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</si>
  <si>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</si>
  <si>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</si>
  <si>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</si>
  <si>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</si>
  <si>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</si>
  <si>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</si>
  <si>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</si>
  <si>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</si>
  <si>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</si>
  <si>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</si>
  <si>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</si>
  <si>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</si>
  <si>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</si>
  <si>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</si>
  <si>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</si>
  <si>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</si>
  <si>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</si>
  <si>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</si>
  <si>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</si>
  <si>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</si>
  <si>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</si>
  <si>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</si>
  <si>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</si>
  <si>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</si>
  <si>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</si>
  <si>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</si>
  <si>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</si>
  <si>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</si>
  <si>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</si>
  <si>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</si>
  <si>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</si>
  <si>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</si>
  <si>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</si>
  <si>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</si>
  <si>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</si>
  <si>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</si>
  <si>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</si>
  <si>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</si>
  <si>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</si>
  <si>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</si>
  <si>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</si>
  <si>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</si>
  <si>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</si>
  <si>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</si>
  <si>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</si>
  <si>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</si>
  <si>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</si>
  <si>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</si>
  <si>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</si>
  <si>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</si>
  <si>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</si>
  <si>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</si>
  <si>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</si>
  <si>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</si>
  <si>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</si>
  <si>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</si>
  <si>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</si>
  <si>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</si>
  <si>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</si>
  <si>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</si>
  <si>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</si>
  <si>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</si>
  <si>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</si>
  <si>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</si>
  <si>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</si>
  <si>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</si>
  <si>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</si>
  <si>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</si>
  <si>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</si>
  <si>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</si>
  <si>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</si>
  <si>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</si>
  <si>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</si>
  <si>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</si>
  <si>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</si>
  <si>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</si>
  <si>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</si>
  <si>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</si>
  <si>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</si>
  <si>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</si>
  <si>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</si>
  <si>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</si>
  <si>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</si>
  <si>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</si>
  <si>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</si>
  <si>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</si>
  <si>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</si>
  <si>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</si>
  <si>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</si>
  <si>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</si>
  <si>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</si>
  <si>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</si>
  <si>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</si>
  <si>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</si>
  <si>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</si>
  <si>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</si>
  <si>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</si>
  <si>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</si>
  <si>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</si>
  <si>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</si>
  <si>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</si>
  <si>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</si>
  <si>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</si>
  <si>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</si>
  <si>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</si>
  <si>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</si>
  <si>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</si>
  <si>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</si>
  <si>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</si>
  <si>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</si>
  <si>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</si>
  <si>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</si>
  <si>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</si>
  <si>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</si>
  <si>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</si>
  <si>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</si>
  <si>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</si>
  <si>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</si>
  <si>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</si>
  <si>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</si>
  <si>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</si>
  <si>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</si>
  <si>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</si>
  <si>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</si>
  <si>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</si>
  <si>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</si>
  <si>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</si>
  <si>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</si>
  <si>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</si>
  <si>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</si>
  <si>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</si>
  <si>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</si>
  <si>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</si>
  <si>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</si>
  <si>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</si>
  <si>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</si>
  <si>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</si>
  <si>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</si>
  <si>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</si>
  <si>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</si>
  <si>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</si>
  <si>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</si>
  <si>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</si>
  <si>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</si>
  <si>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</si>
  <si>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</si>
  <si>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</si>
  <si>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</si>
  <si>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</si>
  <si>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</si>
  <si>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</si>
  <si>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</si>
  <si>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</si>
  <si>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</si>
  <si>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</si>
  <si>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</si>
  <si>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</si>
  <si>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</si>
  <si>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</si>
  <si>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</si>
  <si>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</si>
  <si>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</si>
  <si>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</si>
  <si>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</si>
  <si>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</si>
  <si>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</si>
  <si>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</si>
  <si>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</si>
  <si>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</si>
  <si>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</si>
  <si>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</si>
  <si>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</si>
  <si>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</si>
  <si>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</si>
  <si>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</si>
  <si>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</si>
  <si>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</si>
  <si>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</si>
  <si>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</si>
  <si>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</si>
  <si>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</si>
  <si>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</si>
  <si>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</si>
  <si>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</si>
  <si>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</si>
  <si>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</si>
  <si>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</si>
  <si>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</si>
  <si>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</si>
  <si>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</si>
  <si>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</si>
  <si>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</si>
  <si>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</si>
  <si>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</si>
  <si>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</si>
  <si>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</si>
  <si>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</si>
  <si>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</si>
  <si>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</si>
  <si>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</si>
  <si>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</si>
  <si>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</si>
  <si>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</si>
  <si>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</si>
  <si>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</si>
  <si>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</si>
  <si>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</si>
  <si>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</si>
  <si>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</si>
  <si>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</si>
  <si>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</si>
  <si>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</si>
  <si>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</si>
  <si>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</si>
  <si>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</si>
  <si>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</si>
  <si>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</si>
  <si>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</si>
  <si>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</si>
  <si>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</si>
  <si>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</si>
  <si>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</si>
  <si>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</si>
  <si>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</si>
  <si>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</si>
  <si>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</si>
  <si>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</si>
  <si>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</si>
  <si>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</si>
  <si>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</si>
  <si>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</si>
  <si>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</si>
  <si>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</si>
  <si>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</si>
  <si>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</si>
  <si>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</si>
  <si>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</si>
  <si>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</si>
  <si>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</si>
  <si>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</si>
  <si>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</si>
  <si>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</si>
  <si>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</si>
  <si>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</si>
  <si>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</si>
  <si>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</si>
  <si>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</si>
  <si>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</si>
  <si>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</si>
  <si>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</si>
  <si>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</si>
  <si>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</si>
  <si>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</si>
  <si>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</si>
  <si>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</si>
  <si>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</si>
  <si>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</si>
  <si>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</si>
  <si>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</si>
  <si>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</si>
  <si>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</si>
  <si>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</si>
  <si>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</si>
  <si>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</si>
  <si>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</si>
  <si>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</si>
  <si>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</si>
  <si>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</si>
  <si>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</si>
  <si>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</si>
  <si>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</si>
  <si>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</si>
  <si>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</si>
  <si>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</si>
  <si>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</si>
  <si>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</si>
  <si>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</si>
  <si>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</si>
  <si>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</si>
  <si>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</si>
  <si>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</si>
  <si>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</si>
  <si>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</si>
  <si>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</si>
  <si>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</si>
  <si>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</si>
  <si>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</si>
  <si>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</si>
  <si>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</si>
  <si>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</si>
  <si>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</si>
  <si>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</si>
  <si>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</si>
  <si>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</si>
  <si>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</si>
  <si>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</si>
  <si>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</si>
  <si>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</si>
  <si>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</si>
  <si>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</si>
  <si>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</si>
  <si>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</si>
  <si>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</si>
  <si>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</si>
  <si>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</si>
  <si>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</si>
  <si>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</si>
  <si>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</si>
  <si>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</si>
  <si>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</si>
  <si>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</si>
  <si>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</si>
  <si>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</si>
  <si>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</si>
  <si>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</si>
  <si>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</si>
  <si>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</si>
  <si>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</si>
  <si>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</si>
  <si>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</si>
  <si>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</si>
  <si>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</si>
  <si>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</si>
  <si>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</si>
  <si>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</si>
  <si>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</si>
  <si>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</si>
  <si>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</si>
  <si>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</si>
  <si>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</si>
  <si>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</si>
  <si>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</si>
  <si>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</si>
  <si>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</si>
  <si>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</si>
  <si>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</si>
  <si>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</si>
  <si>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</si>
  <si>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</si>
  <si>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</si>
  <si>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</si>
  <si>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</si>
  <si>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</si>
  <si>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</si>
  <si>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</si>
  <si>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</si>
  <si>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</si>
  <si>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</si>
  <si>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</si>
  <si>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</si>
  <si>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</si>
  <si>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</si>
  <si>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</si>
  <si>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</si>
  <si>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</si>
  <si>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</si>
  <si>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</si>
  <si>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</si>
  <si>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</si>
  <si>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</si>
  <si>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</si>
  <si>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</si>
  <si>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</si>
  <si>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</si>
  <si>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</si>
  <si>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</si>
  <si>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</si>
  <si>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</si>
  <si>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</si>
  <si>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</si>
  <si>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</si>
  <si>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</si>
  <si>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</si>
  <si>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</si>
  <si>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</si>
  <si>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</si>
  <si>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</si>
  <si>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</si>
  <si>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</si>
  <si>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</si>
  <si>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</si>
  <si>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</si>
  <si>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</si>
  <si>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</si>
  <si>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</si>
  <si>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</si>
  <si>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</si>
  <si>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</si>
  <si>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</si>
  <si>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</si>
  <si>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</si>
  <si>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</si>
  <si>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</si>
  <si>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</si>
  <si>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</si>
  <si>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</si>
  <si>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</si>
  <si>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</si>
  <si>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</si>
  <si>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</si>
  <si>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</si>
  <si>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</si>
  <si>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</si>
  <si>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</si>
  <si>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</si>
  <si>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</si>
  <si>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</si>
  <si>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</si>
  <si>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</si>
  <si>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</si>
  <si>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</si>
  <si>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</si>
  <si>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</si>
  <si>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</si>
  <si>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</si>
  <si>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</si>
  <si>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</si>
  <si>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</si>
  <si>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</si>
  <si>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</si>
  <si>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</si>
  <si>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</si>
  <si>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</si>
  <si>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</si>
  <si>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</si>
  <si>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</si>
  <si>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</si>
  <si>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</si>
  <si>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</si>
  <si>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</si>
  <si>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</si>
  <si>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</si>
  <si>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</si>
  <si>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</si>
  <si>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</si>
  <si>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</si>
  <si>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</si>
  <si>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</si>
  <si>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</si>
  <si>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</si>
  <si>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</si>
  <si>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</si>
  <si>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</si>
  <si>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</si>
  <si>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</si>
  <si>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</si>
  <si>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</si>
  <si>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</si>
  <si>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</si>
  <si>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</si>
  <si>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</si>
  <si>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</si>
  <si>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</si>
  <si>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</si>
  <si>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</si>
  <si>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</si>
  <si>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</si>
  <si>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</si>
  <si>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</si>
  <si>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</si>
  <si>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</si>
  <si>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</si>
  <si>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</si>
  <si>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</si>
  <si>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</si>
  <si>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</si>
  <si>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</si>
  <si>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</si>
  <si>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</si>
  <si>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</si>
  <si>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</si>
  <si>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</si>
  <si>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</si>
  <si>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</si>
  <si>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</si>
  <si>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</si>
  <si>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</si>
  <si>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</si>
  <si>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</si>
  <si>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</si>
  <si>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</si>
  <si>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</si>
  <si>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</si>
  <si>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</si>
  <si>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</si>
  <si>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</si>
  <si>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</si>
  <si>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</si>
  <si>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</si>
  <si>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</si>
  <si>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</si>
  <si>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</si>
  <si>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</si>
  <si>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</si>
  <si>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</si>
  <si>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</si>
  <si>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</si>
  <si>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</si>
  <si>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</si>
  <si>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</si>
  <si>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</si>
  <si>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</si>
  <si>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</si>
  <si>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</si>
  <si>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</si>
  <si>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</si>
  <si>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</si>
  <si>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</si>
  <si>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</si>
  <si>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</si>
  <si>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</si>
  <si>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</si>
  <si>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</si>
  <si>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</si>
  <si>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</si>
  <si>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</si>
  <si>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</si>
  <si>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</si>
  <si>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</si>
  <si>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</si>
  <si>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</si>
  <si>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</si>
  <si>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</si>
  <si>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</si>
  <si>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</si>
  <si>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</si>
  <si>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</si>
  <si>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</si>
  <si>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</si>
  <si>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</si>
  <si>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</si>
  <si>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</si>
  <si>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</si>
  <si>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</si>
  <si>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</si>
  <si>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</si>
  <si>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</si>
  <si>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</si>
  <si>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</si>
  <si>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</si>
  <si>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</si>
  <si>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</si>
  <si>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</si>
  <si>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</si>
  <si>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</si>
  <si>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</si>
  <si>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</si>
  <si>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</si>
  <si>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</si>
  <si>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</si>
  <si>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</si>
  <si>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</si>
  <si>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</si>
  <si>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</si>
  <si>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</si>
  <si>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</si>
  <si>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</si>
  <si>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</si>
  <si>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</si>
  <si>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</si>
  <si>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</si>
  <si>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</si>
  <si>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</si>
  <si>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</si>
  <si>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</si>
  <si>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</si>
  <si>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</si>
  <si>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</si>
  <si>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</si>
  <si>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</si>
  <si>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</si>
  <si>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</si>
  <si>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</si>
  <si>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</si>
  <si>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</si>
  <si>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</si>
  <si>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</si>
  <si>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</si>
  <si>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</si>
  <si>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</si>
  <si>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</si>
  <si>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</si>
  <si>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</si>
  <si>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</si>
  <si>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</si>
  <si>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</si>
  <si>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</si>
  <si>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</si>
  <si>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</si>
  <si>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</si>
  <si>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</si>
  <si>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</si>
  <si>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</si>
  <si>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</si>
  <si>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</si>
  <si>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</si>
  <si>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</si>
  <si>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</si>
  <si>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</si>
  <si>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</si>
  <si>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</si>
  <si>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</si>
  <si>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</si>
  <si>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</si>
  <si>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</si>
  <si>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</si>
  <si>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</si>
  <si>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</si>
  <si>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</si>
  <si>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</si>
  <si>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</si>
  <si>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</si>
  <si>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</si>
  <si>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</si>
  <si>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</si>
  <si>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</si>
  <si>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</si>
  <si>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</si>
  <si>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</si>
  <si>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</si>
  <si>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</si>
  <si>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</si>
  <si>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</si>
  <si>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</si>
  <si>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</si>
  <si>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</si>
  <si>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</si>
  <si>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</si>
  <si>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</si>
  <si>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</si>
  <si>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</si>
  <si>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</si>
  <si>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</si>
  <si>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</si>
  <si>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</si>
  <si>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</si>
  <si>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</si>
  <si>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</si>
  <si>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</si>
  <si>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</si>
  <si>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</si>
  <si>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</si>
  <si>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</si>
  <si>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</si>
  <si>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</si>
  <si>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</si>
  <si>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</si>
  <si>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</si>
  <si>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</si>
  <si>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</si>
  <si>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</si>
  <si>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</si>
  <si>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</si>
  <si>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</si>
  <si>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</si>
  <si>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</si>
  <si>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</si>
  <si>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</si>
  <si>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</si>
  <si>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</si>
  <si>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</si>
  <si>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</si>
  <si>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</si>
  <si>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</si>
  <si>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</si>
  <si>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</si>
  <si>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</si>
  <si>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</si>
  <si>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</si>
  <si>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</si>
  <si>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</si>
  <si>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</si>
  <si>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</si>
  <si>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</si>
  <si>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</si>
  <si>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</si>
  <si>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</si>
  <si>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</si>
  <si>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</si>
  <si>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</si>
  <si>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</si>
  <si>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</si>
  <si>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</si>
  <si>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</si>
  <si>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</si>
  <si>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</si>
  <si>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</si>
  <si>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</si>
  <si>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</si>
  <si>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</si>
  <si>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</si>
  <si>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</si>
  <si>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</si>
  <si>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</si>
  <si>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</si>
  <si>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</si>
  <si>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</si>
  <si>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</si>
  <si>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</si>
  <si>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</si>
  <si>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</si>
  <si>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</si>
  <si>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</si>
  <si>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</si>
  <si>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</si>
  <si>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</si>
  <si>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</si>
  <si>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</si>
  <si>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</si>
  <si>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</si>
  <si>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</si>
  <si>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</si>
  <si>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</si>
  <si>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</si>
  <si>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</si>
  <si>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</si>
  <si>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</si>
  <si>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</si>
  <si>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</si>
  <si>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</si>
  <si>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</si>
  <si>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</si>
  <si>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</si>
  <si>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</si>
  <si>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</si>
  <si>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</si>
  <si>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</si>
  <si>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</si>
  <si>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</si>
  <si>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</si>
  <si>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</si>
  <si>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</si>
  <si>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</si>
  <si>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</si>
  <si>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</si>
  <si>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</si>
  <si>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</si>
  <si>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</si>
  <si>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</si>
  <si>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</si>
  <si>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</si>
  <si>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</si>
  <si>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</si>
  <si>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</si>
  <si>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</si>
  <si>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</si>
  <si>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</si>
  <si>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</si>
  <si>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</si>
  <si>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</si>
  <si>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</si>
  <si>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</si>
  <si>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</si>
  <si>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</si>
  <si>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</si>
  <si>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</si>
  <si>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</si>
  <si>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</si>
  <si>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</si>
  <si>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</si>
  <si>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</si>
  <si>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</si>
  <si>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</si>
  <si>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</si>
  <si>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</si>
  <si>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</si>
  <si>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</si>
  <si>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</si>
  <si>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</si>
  <si>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</si>
  <si>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</si>
  <si>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</si>
  <si>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</si>
  <si>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</si>
  <si>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</si>
  <si>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</si>
  <si>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</si>
  <si>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</si>
  <si>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</si>
  <si>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</si>
  <si>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</si>
  <si>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</si>
  <si>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</si>
  <si>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</si>
  <si>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</si>
  <si>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</si>
  <si>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</si>
  <si>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</si>
  <si>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</si>
  <si>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</si>
  <si>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</si>
  <si>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</si>
  <si>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</si>
  <si>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</si>
  <si>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</si>
  <si>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</si>
  <si>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</si>
  <si>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</si>
  <si>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</si>
  <si>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</si>
  <si>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</si>
  <si>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</si>
  <si>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</si>
  <si>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</si>
  <si>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</si>
  <si>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</si>
  <si>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</si>
  <si>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</si>
  <si>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</si>
  <si>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</si>
  <si>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</si>
  <si>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</si>
  <si>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</si>
  <si>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</si>
  <si>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</si>
  <si>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</si>
  <si>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</si>
  <si>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</si>
  <si>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</si>
  <si>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</si>
  <si>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</si>
  <si>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</si>
  <si>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</si>
  <si>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</si>
  <si>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</si>
  <si>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</si>
  <si>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</si>
  <si>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</si>
  <si>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</si>
  <si>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</si>
  <si>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</si>
  <si>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</si>
  <si>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</si>
  <si>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</si>
  <si>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</si>
  <si>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</si>
  <si>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</si>
  <si>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</si>
  <si>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</si>
  <si>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</si>
  <si>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</si>
  <si>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</si>
  <si>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</si>
  <si>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</si>
  <si>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</si>
  <si>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</si>
  <si>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</si>
  <si>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</si>
  <si>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</si>
  <si>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</si>
  <si>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</si>
  <si>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</si>
  <si>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</si>
  <si>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</si>
  <si>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</si>
  <si>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</si>
  <si>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</si>
  <si>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</si>
  <si>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</si>
  <si>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</si>
  <si>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</si>
  <si>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</si>
  <si>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</si>
  <si>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</si>
  <si>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</si>
  <si>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</si>
  <si>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</si>
  <si>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</si>
  <si>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</si>
  <si>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</si>
  <si>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</si>
  <si>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</si>
  <si>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</si>
  <si>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</si>
  <si>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</si>
  <si>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</si>
  <si>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</si>
  <si>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</si>
  <si>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</si>
  <si>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</si>
  <si>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</si>
  <si>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</si>
  <si>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</si>
  <si>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</si>
  <si>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</si>
  <si>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</si>
  <si>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</si>
  <si>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</si>
  <si>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</si>
  <si>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</si>
  <si>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</si>
  <si>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</si>
  <si>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</si>
  <si>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</si>
  <si>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</si>
  <si>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</si>
  <si>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</si>
  <si>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</si>
  <si>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</si>
  <si>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</si>
  <si>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</si>
  <si>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</si>
  <si>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</si>
  <si>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</si>
  <si>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</si>
  <si>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</si>
  <si>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</si>
  <si>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</si>
  <si>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</si>
  <si>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</si>
  <si>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</si>
  <si>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</si>
  <si>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</si>
  <si>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</si>
  <si>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</si>
  <si>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</si>
  <si>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</si>
  <si>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</si>
  <si>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</si>
  <si>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</si>
  <si>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</si>
  <si>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</si>
  <si>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</si>
  <si>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</si>
  <si>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</si>
  <si>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</si>
  <si>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</si>
  <si>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</si>
  <si>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</si>
  <si>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</si>
  <si>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</si>
  <si>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</si>
  <si>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</si>
  <si>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</si>
  <si>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</si>
  <si>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</si>
  <si>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</si>
  <si>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</si>
  <si>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</si>
  <si>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</si>
  <si>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</si>
  <si>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</si>
  <si>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</si>
  <si>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</si>
  <si>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</si>
  <si>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</si>
  <si>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</si>
  <si>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</si>
  <si>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</si>
  <si>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</si>
  <si>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</si>
  <si>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</si>
  <si>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</si>
  <si>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</si>
  <si>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</si>
  <si>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</si>
  <si>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</si>
  <si>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</si>
  <si>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</si>
  <si>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</si>
  <si>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</si>
  <si>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</si>
  <si>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</si>
  <si>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</si>
  <si>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</si>
  <si>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</si>
  <si>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</si>
  <si>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</si>
  <si>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</si>
  <si>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</si>
  <si>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</si>
  <si>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</si>
  <si>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</si>
  <si>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</si>
  <si>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</si>
  <si>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</si>
  <si>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</si>
  <si>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</si>
  <si>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</si>
  <si>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</si>
  <si>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</si>
  <si>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</si>
  <si>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</si>
  <si>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</si>
  <si>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</si>
  <si>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</si>
  <si>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</si>
  <si>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</si>
  <si>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</si>
  <si>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</si>
  <si>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</si>
  <si>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</si>
  <si>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</si>
  <si>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</si>
  <si>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</si>
  <si>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</si>
  <si>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</si>
  <si>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</si>
  <si>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</si>
  <si>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</si>
  <si>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</si>
  <si>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</si>
  <si>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</si>
  <si>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</si>
  <si>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</si>
  <si>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</si>
  <si>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</si>
  <si>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</si>
  <si>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</si>
  <si>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</si>
  <si>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</si>
  <si>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</si>
  <si>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</si>
  <si>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</si>
  <si>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</si>
  <si>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</si>
  <si>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</si>
  <si>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</si>
  <si>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</si>
  <si>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</si>
  <si>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</si>
  <si>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</si>
  <si>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</si>
  <si>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</si>
  <si>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</si>
  <si>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</si>
  <si>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</si>
  <si>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</si>
  <si>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</si>
  <si>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</si>
  <si>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</si>
  <si>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</si>
  <si>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</si>
  <si>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</si>
  <si>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</si>
  <si>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</si>
  <si>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</si>
  <si>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</si>
  <si>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</si>
  <si>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</si>
  <si>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</si>
  <si>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</si>
  <si>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</si>
  <si>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</si>
  <si>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</si>
  <si>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</si>
  <si>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</si>
  <si>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</si>
  <si>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</si>
  <si>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</si>
  <si>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</si>
  <si>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</si>
  <si>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</si>
  <si>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</si>
  <si>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</si>
  <si>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</si>
  <si>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</si>
  <si>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</si>
  <si>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</si>
  <si>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</si>
  <si>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</si>
  <si>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</si>
  <si>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</si>
  <si>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</si>
  <si>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</si>
  <si>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</si>
  <si>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</si>
  <si>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</si>
  <si>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</si>
  <si>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</si>
  <si>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</si>
  <si>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</si>
  <si>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</si>
  <si>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</si>
  <si>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</si>
  <si>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</si>
  <si>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</si>
  <si>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</si>
  <si>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</si>
  <si>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</si>
  <si>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</si>
  <si>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</si>
  <si>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</si>
  <si>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</si>
  <si>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</si>
  <si>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</si>
  <si>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</si>
  <si>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</si>
  <si>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</si>
  <si>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</si>
  <si>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</si>
  <si>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</si>
  <si>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</si>
  <si>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</si>
  <si>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</si>
  <si>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</si>
  <si>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</si>
  <si>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</si>
  <si>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</si>
  <si>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</si>
  <si>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</si>
  <si>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</si>
  <si>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</si>
  <si>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</si>
  <si>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</si>
  <si>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</si>
  <si>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</si>
  <si>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</si>
  <si>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</si>
  <si>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</si>
  <si>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</si>
  <si>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</si>
  <si>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</si>
  <si>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</si>
  <si>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</si>
  <si>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</si>
  <si>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</si>
  <si>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</si>
  <si>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</si>
  <si>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</si>
  <si>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</si>
  <si>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</si>
  <si>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</si>
  <si>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</si>
  <si>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</si>
  <si>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</si>
  <si>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</si>
  <si>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</si>
  <si>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</si>
  <si>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</si>
  <si>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</si>
  <si>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</si>
  <si>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</si>
  <si>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</si>
  <si>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</si>
  <si>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</si>
  <si>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</si>
  <si>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</si>
  <si>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</si>
  <si>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</si>
  <si>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</si>
  <si>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</si>
  <si>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</si>
  <si>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</si>
  <si>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</si>
  <si>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</si>
  <si>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</si>
  <si>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</si>
  <si>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</si>
  <si>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</si>
  <si>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</si>
  <si>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</si>
  <si>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</si>
  <si>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</si>
  <si>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</si>
  <si>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</si>
  <si>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</si>
  <si>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</si>
  <si>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</si>
  <si>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</si>
  <si>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</si>
  <si>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</si>
  <si>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</si>
  <si>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</si>
  <si>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</si>
  <si>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</si>
  <si>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</si>
  <si>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</si>
  <si>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</si>
  <si>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</si>
  <si>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</si>
  <si>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</si>
  <si>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</si>
  <si>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</si>
  <si>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</si>
  <si>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</si>
  <si>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</si>
  <si>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</si>
  <si>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</si>
  <si>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</si>
  <si>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</si>
  <si>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</si>
  <si>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</si>
  <si>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</si>
  <si>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</si>
  <si>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</si>
  <si>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</si>
  <si>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</si>
  <si>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</si>
  <si>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</si>
  <si>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</si>
  <si>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</si>
  <si>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</si>
  <si>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</si>
  <si>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</si>
  <si>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</si>
  <si>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</si>
  <si>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</si>
  <si>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</si>
  <si>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</si>
  <si>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</si>
  <si>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</si>
  <si>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</si>
  <si>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</si>
  <si>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</si>
  <si>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</si>
  <si>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</si>
  <si>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</si>
  <si>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</si>
  <si>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</si>
  <si>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</si>
  <si>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</si>
  <si>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</si>
  <si>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</si>
  <si>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</si>
  <si>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</si>
  <si>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</si>
  <si>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</si>
  <si>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</si>
  <si>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</si>
  <si>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</si>
  <si>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</si>
  <si>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</si>
  <si>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</si>
  <si>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</si>
  <si>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</si>
  <si>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</si>
  <si>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</si>
  <si>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</si>
  <si>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</si>
  <si>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</si>
  <si>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</si>
  <si>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</si>
  <si>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</si>
  <si>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</si>
  <si>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</si>
  <si>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</si>
  <si>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</si>
  <si>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</si>
  <si>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</si>
  <si>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</si>
  <si>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</si>
  <si>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</si>
  <si>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</si>
  <si>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</si>
  <si>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</si>
  <si>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</si>
  <si>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</si>
  <si>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</si>
  <si>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</si>
  <si>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</si>
  <si>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</si>
  <si>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</si>
  <si>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</si>
  <si>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</si>
  <si>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</si>
  <si>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</si>
  <si>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</si>
  <si>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</si>
  <si>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</si>
  <si>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</si>
  <si>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</si>
  <si>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</si>
  <si>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</si>
  <si>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</si>
  <si>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</si>
  <si>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</si>
  <si>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</si>
  <si>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</si>
  <si>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</si>
  <si>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</si>
  <si>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</si>
  <si>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</si>
  <si>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</si>
  <si>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</si>
  <si>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</si>
  <si>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</si>
  <si>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</si>
  <si>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</si>
  <si>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</si>
  <si>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</si>
  <si>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</si>
  <si>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</si>
  <si>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</si>
  <si>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</si>
  <si>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</si>
  <si>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</si>
  <si>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</si>
  <si>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</si>
  <si>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</si>
  <si>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</si>
  <si>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</si>
  <si>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</si>
  <si>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</si>
  <si>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</si>
  <si>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</si>
  <si>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</si>
  <si>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</si>
  <si>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</si>
  <si>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</si>
  <si>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</si>
  <si>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</si>
  <si>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</si>
  <si>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</si>
  <si>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</si>
  <si>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</si>
  <si>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</si>
  <si>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</si>
  <si>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</si>
  <si>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</si>
  <si>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</si>
  <si>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</si>
  <si>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</si>
  <si>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</si>
  <si>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</si>
  <si>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</si>
  <si>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</si>
  <si>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</si>
  <si>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</si>
  <si>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</si>
  <si>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</si>
  <si>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</si>
  <si>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</si>
  <si>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</si>
  <si>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</si>
  <si>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</si>
  <si>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</si>
  <si>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</si>
  <si>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</si>
  <si>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</si>
  <si>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</si>
  <si>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</si>
  <si>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</si>
  <si>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</si>
  <si>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</si>
  <si>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</si>
  <si>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</si>
  <si>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</si>
  <si>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</si>
  <si>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</si>
  <si>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</si>
  <si>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</si>
  <si>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</si>
  <si>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</si>
  <si>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</si>
  <si>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</si>
  <si>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</si>
  <si>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</si>
  <si>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</si>
  <si>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</si>
  <si>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</si>
  <si>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</si>
  <si>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</si>
  <si>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</si>
  <si>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</si>
  <si>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</si>
  <si>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</si>
  <si>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</si>
  <si>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</si>
  <si>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</si>
  <si>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</si>
  <si>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</si>
  <si>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</si>
  <si>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</si>
  <si>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</si>
  <si>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</si>
  <si>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</si>
  <si>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</si>
  <si>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</si>
  <si>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</si>
  <si>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</si>
  <si>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</si>
  <si>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</si>
  <si>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</si>
  <si>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</si>
  <si>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</si>
  <si>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</si>
  <si>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</si>
  <si>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</si>
  <si>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</si>
  <si>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</si>
  <si>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</si>
  <si>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</si>
  <si>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</si>
  <si>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</si>
  <si>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</si>
  <si>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</si>
  <si>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</si>
  <si>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</si>
  <si>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</si>
  <si>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</si>
  <si>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</si>
  <si>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</si>
  <si>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</si>
  <si>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</si>
  <si>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</si>
  <si>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</si>
  <si>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</si>
  <si>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</si>
  <si>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</si>
  <si>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</si>
  <si>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</si>
  <si>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</si>
  <si>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</si>
  <si>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</si>
  <si>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</si>
  <si>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</si>
  <si>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</si>
  <si>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</si>
  <si>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</si>
  <si>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</si>
  <si>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</si>
  <si>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</si>
  <si>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</si>
  <si>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</si>
  <si>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</si>
  <si>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</si>
  <si>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</si>
  <si>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</si>
  <si>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</si>
  <si>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</si>
  <si>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</si>
  <si>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</si>
  <si>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</si>
  <si>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</si>
  <si>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</si>
  <si>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</si>
  <si>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</si>
  <si>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</si>
  <si>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</si>
  <si>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</si>
  <si>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</si>
  <si>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</si>
  <si>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</si>
  <si>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</si>
  <si>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</si>
  <si>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</si>
  <si>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</si>
  <si>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</si>
  <si>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</si>
  <si>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</si>
  <si>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</si>
  <si>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</si>
  <si>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</si>
  <si>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</si>
  <si>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</si>
  <si>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</si>
  <si>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</si>
  <si>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</si>
  <si>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</si>
  <si>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</si>
  <si>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</si>
  <si>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</si>
  <si>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</si>
  <si>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</si>
  <si>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</si>
  <si>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</si>
  <si>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</si>
  <si>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</si>
  <si>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</si>
  <si>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</si>
  <si>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</si>
  <si>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</si>
  <si>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</si>
  <si>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</si>
  <si>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</si>
  <si>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</si>
  <si>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</si>
  <si>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</si>
  <si>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</si>
  <si>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</si>
  <si>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</si>
  <si>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</si>
  <si>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</si>
  <si>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</si>
  <si>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</si>
  <si>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</si>
  <si>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</si>
  <si>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</si>
  <si>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</si>
  <si>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</si>
  <si>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</si>
  <si>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</si>
  <si>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</si>
  <si>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</si>
  <si>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</si>
  <si>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</si>
  <si>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</si>
  <si>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</si>
  <si>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</si>
  <si>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</si>
  <si>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</si>
  <si>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</si>
  <si>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</si>
  <si>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</si>
  <si>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</si>
  <si>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</si>
  <si>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</si>
  <si>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</si>
  <si>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</si>
  <si>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</si>
  <si>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</si>
  <si>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</si>
  <si>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</si>
  <si>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</si>
  <si>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</si>
  <si>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</si>
  <si>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</si>
  <si>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</si>
  <si>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</si>
  <si>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</si>
  <si>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</si>
  <si>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</si>
  <si>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</si>
  <si>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</si>
  <si>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</si>
  <si>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</si>
  <si>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</si>
  <si>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</si>
  <si>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</si>
  <si>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</si>
  <si>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</si>
  <si>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</si>
  <si>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</si>
  <si>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</si>
  <si>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</si>
  <si>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</si>
  <si>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</si>
  <si>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</si>
  <si>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</si>
  <si>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</si>
  <si>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</si>
  <si>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</si>
  <si>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</si>
  <si>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</si>
  <si>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</si>
  <si>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</si>
  <si>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</si>
  <si>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</si>
  <si>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</si>
  <si>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</si>
  <si>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</si>
  <si>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</si>
  <si>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</si>
  <si>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</si>
  <si>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</si>
  <si>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</si>
  <si>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</si>
  <si>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</si>
  <si>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</si>
  <si>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</si>
  <si>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</si>
  <si>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</si>
  <si>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</si>
  <si>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</si>
  <si>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</si>
  <si>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</si>
  <si>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</si>
  <si>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</si>
  <si>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</si>
  <si>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</si>
  <si>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</si>
  <si>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</si>
  <si>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</si>
  <si>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</si>
  <si>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</si>
  <si>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</si>
  <si>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</si>
  <si>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</si>
  <si>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</si>
  <si>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</si>
  <si>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</si>
  <si>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</si>
  <si>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</si>
  <si>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</si>
  <si>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</si>
  <si>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</si>
  <si>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</si>
  <si>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</si>
  <si>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</si>
  <si>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</si>
  <si>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</si>
  <si>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</si>
  <si>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</si>
  <si>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</si>
  <si>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</si>
  <si>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</si>
  <si>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</si>
  <si>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</si>
  <si>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</si>
  <si>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</si>
  <si>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</si>
  <si>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</si>
  <si>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</si>
  <si>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</si>
  <si>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</si>
  <si>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</si>
  <si>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</si>
  <si>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</si>
  <si>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</si>
  <si>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</si>
  <si>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</si>
  <si>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</si>
  <si>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</si>
  <si>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</si>
  <si>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</si>
  <si>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</si>
  <si>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</si>
  <si>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</si>
  <si>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</si>
  <si>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</si>
  <si>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</si>
  <si>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</si>
  <si>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</si>
  <si>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</si>
  <si>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</si>
  <si>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</si>
  <si>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</si>
  <si>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</si>
  <si>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</si>
  <si>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</si>
  <si>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</si>
  <si>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</si>
  <si>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</si>
  <si>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</si>
  <si>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</si>
  <si>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</si>
  <si>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</si>
  <si>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</si>
  <si>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</si>
  <si>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</si>
  <si>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</si>
  <si>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</si>
  <si>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</si>
  <si>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</si>
  <si>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</si>
  <si>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</si>
  <si>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</si>
  <si>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</si>
  <si>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</si>
  <si>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</si>
  <si>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</si>
  <si>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</si>
  <si>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</si>
  <si>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</si>
  <si>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</si>
  <si>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</si>
  <si>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</si>
  <si>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</si>
  <si>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</si>
  <si>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</si>
  <si>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</si>
  <si>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</si>
  <si>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</si>
  <si>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</si>
  <si>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</si>
  <si>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</si>
  <si>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</si>
  <si>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</si>
  <si>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</si>
  <si>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</si>
  <si>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</si>
  <si>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</si>
  <si>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</si>
  <si>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</si>
  <si>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</si>
  <si>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</si>
  <si>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</si>
  <si>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</si>
  <si>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</si>
  <si>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</si>
  <si>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</si>
  <si>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</si>
  <si>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</si>
  <si>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</si>
  <si>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</si>
  <si>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</si>
  <si>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</si>
  <si>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</si>
  <si>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</si>
  <si>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</si>
  <si>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</si>
  <si>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</si>
  <si>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</si>
  <si>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</si>
  <si>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</si>
  <si>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</si>
  <si>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</si>
  <si>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</si>
  <si>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</si>
  <si>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</si>
  <si>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</si>
  <si>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</si>
  <si>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</si>
  <si>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</si>
  <si>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</si>
  <si>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</si>
  <si>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</si>
  <si>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</si>
  <si>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</si>
  <si>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</si>
  <si>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</si>
  <si>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</si>
  <si>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</si>
  <si>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</si>
  <si>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</si>
  <si>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</si>
  <si>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</si>
  <si>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</si>
  <si>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</si>
  <si>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</si>
  <si>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</si>
  <si>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</si>
  <si>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</si>
  <si>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</si>
  <si>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</si>
  <si>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</si>
  <si>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</si>
  <si>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</si>
  <si>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</si>
  <si>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</si>
  <si>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</si>
  <si>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</si>
  <si>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</si>
  <si>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</si>
  <si>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</si>
  <si>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</si>
  <si>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</si>
  <si>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</si>
  <si>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</si>
  <si>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</si>
  <si>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</si>
  <si>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</si>
  <si>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</si>
  <si>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</si>
  <si>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</si>
  <si>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</si>
  <si>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</si>
  <si>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</si>
  <si>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</si>
  <si>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</si>
  <si>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</si>
  <si>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</si>
  <si>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</si>
  <si>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</si>
  <si>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</si>
  <si>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</si>
  <si>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</si>
  <si>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</si>
  <si>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</si>
  <si>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</si>
  <si>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</si>
  <si>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</si>
  <si>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</si>
  <si>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</si>
  <si>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</si>
  <si>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</si>
  <si>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</si>
  <si>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</si>
  <si>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</si>
  <si>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</si>
  <si>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</si>
  <si>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</si>
  <si>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</si>
  <si>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</si>
  <si>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</si>
  <si>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</si>
  <si>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</si>
  <si>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</si>
  <si>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</si>
  <si>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</si>
  <si>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</si>
  <si>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</si>
  <si>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</si>
  <si>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</si>
  <si>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</si>
  <si>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</si>
  <si>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</si>
  <si>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</si>
  <si>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</si>
  <si>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</si>
  <si>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</si>
  <si>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</si>
  <si>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</si>
  <si>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</si>
  <si>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</si>
  <si>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</si>
  <si>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</si>
  <si>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</si>
  <si>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</si>
  <si>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</si>
  <si>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</si>
  <si>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</si>
  <si>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</si>
  <si>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</si>
  <si>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</si>
  <si>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</si>
  <si>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</si>
  <si>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</si>
  <si>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</si>
  <si>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</si>
  <si>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</si>
  <si>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</si>
  <si>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</si>
  <si>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</si>
  <si>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</si>
  <si>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</si>
  <si>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</si>
  <si>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</si>
  <si>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</si>
  <si>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</si>
  <si>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</si>
  <si>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</si>
  <si>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</si>
  <si>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</si>
  <si>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</si>
  <si>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</si>
  <si>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</si>
  <si>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</si>
  <si>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</si>
  <si>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</si>
  <si>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</si>
  <si>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</si>
  <si>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</si>
  <si>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</si>
  <si>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</si>
  <si>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</si>
  <si>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</si>
  <si>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</si>
  <si>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</si>
  <si>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</si>
  <si>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</si>
  <si>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</si>
  <si>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</si>
  <si>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</si>
  <si>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</si>
  <si>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</si>
  <si>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</si>
  <si>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</si>
  <si>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</si>
  <si>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</si>
  <si>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</si>
  <si>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</si>
  <si>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</si>
  <si>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</si>
  <si>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</si>
  <si>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</si>
  <si>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</si>
  <si>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</si>
  <si>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</si>
  <si>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</si>
  <si>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</si>
  <si>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</si>
  <si>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</si>
  <si>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</si>
  <si>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</si>
  <si>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</si>
  <si>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</si>
  <si>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</si>
  <si>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</si>
  <si>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</si>
  <si>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</si>
  <si>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</si>
  <si>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</si>
  <si>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</si>
  <si>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</si>
  <si>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</si>
  <si>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</si>
  <si>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</si>
  <si>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</si>
  <si>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</si>
  <si>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</si>
  <si>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</si>
  <si>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</si>
  <si>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</si>
  <si>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</si>
  <si>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</si>
  <si>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</si>
  <si>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</si>
  <si>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</si>
  <si>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</si>
  <si>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</si>
  <si>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</si>
  <si>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</si>
  <si>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</si>
  <si>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</si>
  <si>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</si>
  <si>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</si>
  <si>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</si>
  <si>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</si>
  <si>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</si>
  <si>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</si>
  <si>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</si>
  <si>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</si>
  <si>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</si>
  <si>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</si>
  <si>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</si>
  <si>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</si>
  <si>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</si>
  <si>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</si>
  <si>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</si>
  <si>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</si>
  <si>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</si>
  <si>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</si>
  <si>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</si>
  <si>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</si>
  <si>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</si>
  <si>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</si>
  <si>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</si>
  <si>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</si>
  <si>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</si>
  <si>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</si>
  <si>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</si>
  <si>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</si>
  <si>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</si>
  <si>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</si>
  <si>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</si>
  <si>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</si>
  <si>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</si>
  <si>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</si>
  <si>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</si>
  <si>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</si>
  <si>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</si>
  <si>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</si>
  <si>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</si>
  <si>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</si>
  <si>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</si>
  <si>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</si>
  <si>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</si>
  <si>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</si>
  <si>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</si>
  <si>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</si>
  <si>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</si>
  <si>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</si>
  <si>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</si>
  <si>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</si>
  <si>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</si>
  <si>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</si>
  <si>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</si>
  <si>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</si>
  <si>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</si>
  <si>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</si>
  <si>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</si>
  <si>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</si>
  <si>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</si>
  <si>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</si>
  <si>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</si>
  <si>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</si>
  <si>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</si>
  <si>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</si>
  <si>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</si>
  <si>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</si>
  <si>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</si>
  <si>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</si>
  <si>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</si>
  <si>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</si>
  <si>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</si>
  <si>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</si>
  <si>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</si>
  <si>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</si>
  <si>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</si>
  <si>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</si>
  <si>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</si>
  <si>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</si>
  <si>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</si>
  <si>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</si>
  <si>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</si>
  <si>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</si>
  <si>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</si>
  <si>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</si>
  <si>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</si>
  <si>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</si>
  <si>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</si>
  <si>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</si>
  <si>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</si>
  <si>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</si>
  <si>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</si>
  <si>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</si>
  <si>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</si>
  <si>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</si>
  <si>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</si>
  <si>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</si>
  <si>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</si>
  <si>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</si>
  <si>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</si>
  <si>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</si>
  <si>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</si>
  <si>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</si>
  <si>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</si>
  <si>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</si>
  <si>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</si>
  <si>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</si>
  <si>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</si>
  <si>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</si>
  <si>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</si>
  <si>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</si>
  <si>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</si>
  <si>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</si>
  <si>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</si>
  <si>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</si>
  <si>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</si>
  <si>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</si>
  <si>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</si>
  <si>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</si>
  <si>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</si>
  <si>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</si>
  <si>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</si>
  <si>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</si>
  <si>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</si>
  <si>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</si>
  <si>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</si>
  <si>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</si>
  <si>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</si>
  <si>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</si>
  <si>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</si>
  <si>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</si>
  <si>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</si>
  <si>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</si>
  <si>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</si>
  <si>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</si>
  <si>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</si>
  <si>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</si>
  <si>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</si>
  <si>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</si>
  <si>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</si>
  <si>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</si>
  <si>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</si>
  <si>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</si>
  <si>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</si>
  <si>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</si>
  <si>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</si>
  <si>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</si>
  <si>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</si>
  <si>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</si>
  <si>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</si>
  <si>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</si>
  <si>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</si>
  <si>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</si>
  <si>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</si>
  <si>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</si>
  <si>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</si>
  <si>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</si>
  <si>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</si>
  <si>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</si>
  <si>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</si>
  <si>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</si>
  <si>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</si>
  <si>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</si>
  <si>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</si>
  <si>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</si>
  <si>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</si>
  <si>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</si>
  <si>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</si>
  <si>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</si>
  <si>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</si>
  <si>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</si>
  <si>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</si>
  <si>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</si>
  <si>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</si>
  <si>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</si>
  <si>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</si>
  <si>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</si>
  <si>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</si>
  <si>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</si>
  <si>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</si>
  <si>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</si>
  <si>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</si>
  <si>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</si>
  <si>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</si>
  <si>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</si>
  <si>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</si>
  <si>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</si>
  <si>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</si>
  <si>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</si>
  <si>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</si>
  <si>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</si>
  <si>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</si>
  <si>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</si>
  <si>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</si>
  <si>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</si>
  <si>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</si>
  <si>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</si>
  <si>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</si>
  <si>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</si>
  <si>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</si>
  <si>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</si>
  <si>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</si>
  <si>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</si>
  <si>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</si>
  <si>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</si>
  <si>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</si>
  <si>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</si>
  <si>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</si>
  <si>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</si>
  <si>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</si>
  <si>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</si>
  <si>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Variable</t>
  </si>
  <si>
    <t>Count</t>
  </si>
  <si>
    <t>Mean</t>
  </si>
  <si>
    <t>Median</t>
  </si>
  <si>
    <t>Unit Price</t>
  </si>
  <si>
    <t>Items in Cart</t>
  </si>
  <si>
    <t>Total price</t>
  </si>
  <si>
    <t>Row Labels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</si>
  <si>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</si>
  <si>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</si>
  <si>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</si>
  <si>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</si>
  <si>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</si>
  <si>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</si>
  <si>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</si>
  <si>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</si>
  <si>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</si>
  <si>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</si>
  <si>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</si>
  <si>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</si>
  <si>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</si>
  <si>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</si>
  <si>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</si>
  <si>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</si>
  <si>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Sum of TotalPrice</t>
  </si>
  <si>
    <t>Q1</t>
  </si>
  <si>
    <t>Q3</t>
  </si>
  <si>
    <t>IQR</t>
  </si>
  <si>
    <t>Lower Bound</t>
  </si>
  <si>
    <t>Upper Bound</t>
  </si>
  <si>
    <t>Number of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</si>
</sst>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Sheet3!$B$4:$B$37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1-448F-AB73-E42473502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740623"/>
        <c:axId val="339676543"/>
      </c:lineChart>
      <c:catAx>
        <c:axId val="33774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76543"/>
        <c:crosses val="autoZero"/>
        <c:auto val="1"/>
        <c:lblAlgn val="ctr"/>
        <c:lblOffset val="100"/>
        <c:noMultiLvlLbl val="0"/>
      </c:catAx>
      <c:valAx>
        <c:axId val="33967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0</xdr:rowOff>
    </xdr:from>
    <xdr:to>
      <xdr:col>9</xdr:col>
      <xdr:colOff>38100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5.554396064814" createdVersion="6" refreshedVersion="6" minRefreshableVersion="3" recordCount="1200">
  <cacheSource type="worksheet">
    <worksheetSource ref="A1:N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m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m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m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m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m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m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m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m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m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m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m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m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m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m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m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m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m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m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m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m/>
    <s v="Facebook"/>
    <n v="1733.8"/>
  </r>
  <r>
    <s v="ORD200074"/>
    <x v="72"/>
    <s v="C25382"/>
    <s v="Phone"/>
    <n v="5"/>
    <n v="90.87"/>
    <s v="622 Main St"/>
    <s v="Cash"/>
    <s v="Pending"/>
    <s v="TRK64691287"/>
    <n v="5"/>
    <m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m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m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m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m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m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m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m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m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m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m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m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m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m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m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m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m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m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m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m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m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m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m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m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m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m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m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m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m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m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m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m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m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m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m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m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m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m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m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m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m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m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m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m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m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m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m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m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m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m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m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m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m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m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m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m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m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m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m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m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m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m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m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m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m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m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m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m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m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m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m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m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m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m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m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m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m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m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m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m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m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m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m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m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m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m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m/>
    <s v="Email"/>
    <n v="1036.46"/>
  </r>
  <r>
    <s v="ORD200411"/>
    <x v="83"/>
    <s v="C66567"/>
    <s v="Desk"/>
    <n v="2"/>
    <n v="39.51"/>
    <s v="981 Main St"/>
    <s v="Online"/>
    <s v="Shipped"/>
    <s v="TRK21174822"/>
    <n v="5"/>
    <m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m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m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m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m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m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m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m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m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m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m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m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m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m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m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m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m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m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m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m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m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m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m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m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m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m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m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m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m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m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m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m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m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m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m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m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m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m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m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m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m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m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m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m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m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m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m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m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m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m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m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m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m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m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m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m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m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m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m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m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m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m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m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m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m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m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m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m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m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m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m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m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m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m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m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m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m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m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m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m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m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m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m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m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m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m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m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m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m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m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m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m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m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m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m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m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m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m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m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m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m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m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m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m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m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m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m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m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m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m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m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m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m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m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m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m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m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m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m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m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m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m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m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m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m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m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m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m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m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m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m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m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m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m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m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m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m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m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m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m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m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m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m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m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m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m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m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m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m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m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m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m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m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m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m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m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m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m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m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m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m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m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m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m/>
    <s v="Email"/>
    <n v="1965.16"/>
  </r>
  <r>
    <s v="ORD201071"/>
    <x v="53"/>
    <s v="C94037"/>
    <s v="Phone"/>
    <n v="2"/>
    <n v="255.14"/>
    <s v="216 Main St"/>
    <s v="Cash"/>
    <s v="Shipped"/>
    <s v="TRK47536985"/>
    <n v="2"/>
    <m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m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m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m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m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m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m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m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m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m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m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m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m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m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m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m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m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m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m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m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m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m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m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m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m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m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m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m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m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m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m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m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m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m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m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m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m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m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7" firstHeaderRow="1" firstDataRow="1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7"/>
  <sheetViews>
    <sheetView tabSelected="1" topLeftCell="A5" zoomScale="70" zoomScaleNormal="70" workbookViewId="0">
      <selection activeCell="I17" sqref="I17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3" t="s">
        <v>4290</v>
      </c>
      <c r="B3" t="s">
        <v>4307</v>
      </c>
    </row>
    <row r="4" spans="1:2" x14ac:dyDescent="0.25">
      <c r="A4" s="4" t="s">
        <v>4292</v>
      </c>
      <c r="B4" s="5"/>
    </row>
    <row r="5" spans="1:2" x14ac:dyDescent="0.25">
      <c r="A5" s="6" t="s">
        <v>4293</v>
      </c>
      <c r="B5" s="5">
        <v>56685.749999999985</v>
      </c>
    </row>
    <row r="6" spans="1:2" x14ac:dyDescent="0.25">
      <c r="A6" s="6" t="s">
        <v>4294</v>
      </c>
      <c r="B6" s="5">
        <v>40117.659999999996</v>
      </c>
    </row>
    <row r="7" spans="1:2" x14ac:dyDescent="0.25">
      <c r="A7" s="6" t="s">
        <v>4295</v>
      </c>
      <c r="B7" s="5">
        <v>48609.37000000001</v>
      </c>
    </row>
    <row r="8" spans="1:2" x14ac:dyDescent="0.25">
      <c r="A8" s="6" t="s">
        <v>4296</v>
      </c>
      <c r="B8" s="5">
        <v>27751.710000000006</v>
      </c>
    </row>
    <row r="9" spans="1:2" x14ac:dyDescent="0.25">
      <c r="A9" s="6" t="s">
        <v>4297</v>
      </c>
      <c r="B9" s="5">
        <v>63836.840000000026</v>
      </c>
    </row>
    <row r="10" spans="1:2" x14ac:dyDescent="0.25">
      <c r="A10" s="6" t="s">
        <v>4298</v>
      </c>
      <c r="B10" s="5">
        <v>49500.19</v>
      </c>
    </row>
    <row r="11" spans="1:2" x14ac:dyDescent="0.25">
      <c r="A11" s="6" t="s">
        <v>4299</v>
      </c>
      <c r="B11" s="5">
        <v>42820.66</v>
      </c>
    </row>
    <row r="12" spans="1:2" x14ac:dyDescent="0.25">
      <c r="A12" s="6" t="s">
        <v>4300</v>
      </c>
      <c r="B12" s="5">
        <v>54352.14</v>
      </c>
    </row>
    <row r="13" spans="1:2" x14ac:dyDescent="0.25">
      <c r="A13" s="6" t="s">
        <v>4301</v>
      </c>
      <c r="B13" s="5">
        <v>29526.67</v>
      </c>
    </row>
    <row r="14" spans="1:2" x14ac:dyDescent="0.25">
      <c r="A14" s="6" t="s">
        <v>4302</v>
      </c>
      <c r="B14" s="5">
        <v>52607.85</v>
      </c>
    </row>
    <row r="15" spans="1:2" x14ac:dyDescent="0.25">
      <c r="A15" s="6" t="s">
        <v>4303</v>
      </c>
      <c r="B15" s="5">
        <v>43079.67</v>
      </c>
    </row>
    <row r="16" spans="1:2" x14ac:dyDescent="0.25">
      <c r="A16" s="6" t="s">
        <v>4304</v>
      </c>
      <c r="B16" s="5">
        <v>43754.729999999981</v>
      </c>
    </row>
    <row r="17" spans="1:2" x14ac:dyDescent="0.25">
      <c r="A17" s="4" t="s">
        <v>4305</v>
      </c>
      <c r="B17" s="5"/>
    </row>
    <row r="18" spans="1:2" x14ac:dyDescent="0.25">
      <c r="A18" s="6" t="s">
        <v>4293</v>
      </c>
      <c r="B18" s="5">
        <v>38528.079999999994</v>
      </c>
    </row>
    <row r="19" spans="1:2" x14ac:dyDescent="0.25">
      <c r="A19" s="6" t="s">
        <v>4294</v>
      </c>
      <c r="B19" s="5">
        <v>36909.570000000014</v>
      </c>
    </row>
    <row r="20" spans="1:2" x14ac:dyDescent="0.25">
      <c r="A20" s="6" t="s">
        <v>4295</v>
      </c>
      <c r="B20" s="5">
        <v>36030.899999999994</v>
      </c>
    </row>
    <row r="21" spans="1:2" x14ac:dyDescent="0.25">
      <c r="A21" s="6" t="s">
        <v>4296</v>
      </c>
      <c r="B21" s="5">
        <v>49613.139999999992</v>
      </c>
    </row>
    <row r="22" spans="1:2" x14ac:dyDescent="0.25">
      <c r="A22" s="6" t="s">
        <v>4297</v>
      </c>
      <c r="B22" s="5">
        <v>27909.110000000004</v>
      </c>
    </row>
    <row r="23" spans="1:2" x14ac:dyDescent="0.25">
      <c r="A23" s="6" t="s">
        <v>4298</v>
      </c>
      <c r="B23" s="5">
        <v>68068.539999999979</v>
      </c>
    </row>
    <row r="24" spans="1:2" x14ac:dyDescent="0.25">
      <c r="A24" s="6" t="s">
        <v>4299</v>
      </c>
      <c r="B24" s="5">
        <v>42963.98</v>
      </c>
    </row>
    <row r="25" spans="1:2" x14ac:dyDescent="0.25">
      <c r="A25" s="6" t="s">
        <v>4300</v>
      </c>
      <c r="B25" s="5">
        <v>31991.07</v>
      </c>
    </row>
    <row r="26" spans="1:2" x14ac:dyDescent="0.25">
      <c r="A26" s="6" t="s">
        <v>4301</v>
      </c>
      <c r="B26" s="5">
        <v>39794.979999999996</v>
      </c>
    </row>
    <row r="27" spans="1:2" x14ac:dyDescent="0.25">
      <c r="A27" s="6" t="s">
        <v>4302</v>
      </c>
      <c r="B27" s="5">
        <v>37226.969999999994</v>
      </c>
    </row>
    <row r="28" spans="1:2" x14ac:dyDescent="0.25">
      <c r="A28" s="6" t="s">
        <v>4303</v>
      </c>
      <c r="B28" s="5">
        <v>32413.760000000006</v>
      </c>
    </row>
    <row r="29" spans="1:2" x14ac:dyDescent="0.25">
      <c r="A29" s="6" t="s">
        <v>4304</v>
      </c>
      <c r="B29" s="5">
        <v>38785.769999999997</v>
      </c>
    </row>
    <row r="30" spans="1:2" x14ac:dyDescent="0.25">
      <c r="A30" s="4" t="s">
        <v>4306</v>
      </c>
      <c r="B30" s="5"/>
    </row>
    <row r="31" spans="1:2" x14ac:dyDescent="0.25">
      <c r="A31" s="6" t="s">
        <v>4293</v>
      </c>
      <c r="B31" s="5">
        <v>29099.399999999998</v>
      </c>
    </row>
    <row r="32" spans="1:2" x14ac:dyDescent="0.25">
      <c r="A32" s="6" t="s">
        <v>4294</v>
      </c>
      <c r="B32" s="5">
        <v>35317.549999999996</v>
      </c>
    </row>
    <row r="33" spans="1:2" x14ac:dyDescent="0.25">
      <c r="A33" s="6" t="s">
        <v>4295</v>
      </c>
      <c r="B33" s="5">
        <v>39200.660000000011</v>
      </c>
    </row>
    <row r="34" spans="1:2" x14ac:dyDescent="0.25">
      <c r="A34" s="6" t="s">
        <v>4296</v>
      </c>
      <c r="B34" s="5">
        <v>31821.200000000001</v>
      </c>
    </row>
    <row r="35" spans="1:2" x14ac:dyDescent="0.25">
      <c r="A35" s="6" t="s">
        <v>4297</v>
      </c>
      <c r="B35" s="5">
        <v>43396.639999999992</v>
      </c>
    </row>
    <row r="36" spans="1:2" x14ac:dyDescent="0.25">
      <c r="A36" s="6" t="s">
        <v>4298</v>
      </c>
      <c r="B36" s="5">
        <v>53047.399999999994</v>
      </c>
    </row>
    <row r="37" spans="1:2" x14ac:dyDescent="0.25">
      <c r="A37" s="4" t="s">
        <v>4291</v>
      </c>
      <c r="B37" s="5">
        <v>1264761.9599999997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G21" sqref="G2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2" sqref="A12"/>
    </sheetView>
  </sheetViews>
  <sheetFormatPr defaultRowHeight="15" x14ac:dyDescent="0.25"/>
  <cols>
    <col min="1" max="1" width="17.5703125" bestFit="1" customWidth="1"/>
  </cols>
  <sheetData>
    <row r="1" spans="1:4" x14ac:dyDescent="0.25">
      <c r="A1" t="s">
        <v>4283</v>
      </c>
      <c r="B1" t="s">
        <v>4284</v>
      </c>
      <c r="C1" t="s">
        <v>4285</v>
      </c>
      <c r="D1" t="s">
        <v>4286</v>
      </c>
    </row>
    <row r="2" spans="1:4" x14ac:dyDescent="0.25">
      <c r="A2" t="s">
        <v>4</v>
      </c>
      <c r="B2">
        <f>COUNT(Sheet1!E:E)</f>
        <v>1200</v>
      </c>
      <c r="C2">
        <f>AVERAGE(Sheet1!E:E)</f>
        <v>2.9458333333333333</v>
      </c>
      <c r="D2">
        <f>MEDIAN(Sheet1!E:E)</f>
        <v>3</v>
      </c>
    </row>
    <row r="3" spans="1:4" x14ac:dyDescent="0.25">
      <c r="A3" t="s">
        <v>4287</v>
      </c>
      <c r="B3">
        <f>COUNT(Sheet1!F:F)</f>
        <v>1200</v>
      </c>
      <c r="C3">
        <f>AVERAGE(Sheet1!F:F)</f>
        <v>356.41275000000007</v>
      </c>
      <c r="D3">
        <f>MEDIAN(Sheet1!F:F)</f>
        <v>364.21</v>
      </c>
    </row>
    <row r="4" spans="1:4" x14ac:dyDescent="0.25">
      <c r="A4" t="s">
        <v>4288</v>
      </c>
      <c r="B4">
        <f>COUNT(Sheet1!K:K)</f>
        <v>1200</v>
      </c>
      <c r="C4">
        <f>AVERAGE(Sheet1!K:K)</f>
        <v>5.4850000000000003</v>
      </c>
      <c r="D4">
        <f>MEDIAN(Sheet1!K:K)</f>
        <v>5</v>
      </c>
    </row>
    <row r="5" spans="1:4" x14ac:dyDescent="0.25">
      <c r="A5" t="s">
        <v>4289</v>
      </c>
      <c r="B5">
        <f>COUNT(Sheet1!N:N)</f>
        <v>1200</v>
      </c>
      <c r="C5">
        <f>AVERAGE(Sheet1!N:N)</f>
        <v>1053.9683000000005</v>
      </c>
      <c r="D5">
        <f>MEDIAN(Sheet1!N:N)</f>
        <v>823.61500000000001</v>
      </c>
    </row>
    <row r="7" spans="1:4" x14ac:dyDescent="0.25">
      <c r="A7" t="s">
        <v>4308</v>
      </c>
      <c r="B7">
        <f>_xlfn.QUARTILE.INC(Sheet1!N:N,1)</f>
        <v>410.52</v>
      </c>
    </row>
    <row r="8" spans="1:4" x14ac:dyDescent="0.25">
      <c r="A8" t="s">
        <v>4309</v>
      </c>
      <c r="B8">
        <f>QUARTILE(Sheet1!N:N,3)</f>
        <v>1578.4749999999999</v>
      </c>
    </row>
    <row r="9" spans="1:4" x14ac:dyDescent="0.25">
      <c r="A9" t="s">
        <v>4310</v>
      </c>
      <c r="B9">
        <f>B8-B7</f>
        <v>1167.9549999999999</v>
      </c>
    </row>
    <row r="10" spans="1:4" x14ac:dyDescent="0.25">
      <c r="A10" t="s">
        <v>4311</v>
      </c>
      <c r="B10">
        <f>B7-(1.5*B9)</f>
        <v>-1341.4124999999999</v>
      </c>
    </row>
    <row r="11" spans="1:4" x14ac:dyDescent="0.25">
      <c r="A11" t="s">
        <v>4312</v>
      </c>
      <c r="B11">
        <f>B8+(1.5*B9)</f>
        <v>3330.4074999999998</v>
      </c>
    </row>
    <row r="12" spans="1:4" x14ac:dyDescent="0.25">
      <c r="A12" t="s">
        <v>4313</v>
      </c>
      <c r="B12">
        <f>COUNTIF(Sheet1!N:N,"&gt;"&amp;B11)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2026-09-11T06:35:21Z</dcterms:modified>
</cp:coreProperties>
</file>